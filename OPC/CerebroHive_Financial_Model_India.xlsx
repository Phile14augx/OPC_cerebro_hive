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Recognition" sheetId="2" state="visible" r:id="rId4"/>
    <sheet name="Income Statement" sheetId="3" state="visible" r:id="rId5"/>
    <sheet name="Cash Flow &amp; KPIs" sheetId="4" state="visible" r:id="rId6"/>
    <sheet name="Scenario Analysis" sheetId="5" state="visible" r:id="rId7"/>
    <sheet name="India Pricing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<sst xmlns="http://schemas.openxmlformats.org/spreadsheetml/2006/main" count="385" uniqueCount="360">
  <si>
    <t xml:space="preserve">CerebroHive — Model Assumptions  |  India Market Pricing  |  Conservative</t>
  </si>
  <si>
    <t xml:space="preserve">Blue = hardcoded input (change here to update all sheets)  |  All values in Indian Rupees (₹)  |  Lakh = 1,00,000</t>
  </si>
  <si>
    <t xml:space="preserve">Assumption</t>
  </si>
  <si>
    <t xml:space="preserve">Year 1 (FY2026)</t>
  </si>
  <si>
    <t xml:space="preserve">Year 2 (FY2027)</t>
  </si>
  <si>
    <t xml:space="preserve">Year 3 (FY2028)</t>
  </si>
  <si>
    <t xml:space="preserve">Notes / Rationale</t>
  </si>
  <si>
    <t xml:space="preserve">── REVENUE RECOGNITION POLICY ──</t>
  </si>
  <si>
    <t xml:space="preserve">Consulting project recognition rate</t>
  </si>
  <si>
    <t xml:space="preserve">% of contracted value recognized in year (milestone-based)</t>
  </si>
  <si>
    <t xml:space="preserve">Automation project recognition rate</t>
  </si>
  <si>
    <t xml:space="preserve">% recognized via % completion method</t>
  </si>
  <si>
    <t xml:space="preserve">Bootcamp recognition rate</t>
  </si>
  <si>
    <t xml:space="preserve">Recognized rateably over program duration</t>
  </si>
  <si>
    <t xml:space="preserve">Corporate training recognition rate</t>
  </si>
  <si>
    <t xml:space="preserve">Recognized as sessions delivered</t>
  </si>
  <si>
    <t xml:space="preserve">Bad debt provision (on services rev.)</t>
  </si>
  <si>
    <t xml:space="preserve">Conservative write-off reserve on billed amounts</t>
  </si>
  <si>
    <t xml:space="preserve">── CONSULTING DIVISION ──</t>
  </si>
  <si>
    <t xml:space="preserve">Consulting deals closed (per year)</t>
  </si>
  <si>
    <t xml:space="preserve">Conservative — founder-led Year 1</t>
  </si>
  <si>
    <t xml:space="preserve">Avg consulting deal size (₹)</t>
  </si>
  <si>
    <t xml:space="preserve">₹7L–₹10L per project (incl. strategy &amp; roadmap)</t>
  </si>
  <si>
    <t xml:space="preserve">Active retainer clients (avg)</t>
  </si>
  <si>
    <t xml:space="preserve">Converts from consulting base</t>
  </si>
  <si>
    <t xml:space="preserve">Avg monthly retainer fee (₹)</t>
  </si>
  <si>
    <t xml:space="preserve">₹1.5L–₹2L/month (AI advisory)</t>
  </si>
  <si>
    <t xml:space="preserve">Consulting gross margin</t>
  </si>
  <si>
    <t xml:space="preserve">Post-delivery cost; India labour rates</t>
  </si>
  <si>
    <t xml:space="preserve">── AUTOMATION DIVISION ──</t>
  </si>
  <si>
    <t xml:space="preserve">Automation projects (per year)</t>
  </si>
  <si>
    <t xml:space="preserve">Conservative ramp; needs delivery capacity</t>
  </si>
  <si>
    <t xml:space="preserve">Avg automation project fee (₹)</t>
  </si>
  <si>
    <t xml:space="preserve">₹8L–₹14L; custom AI agent or workflow</t>
  </si>
  <si>
    <t xml:space="preserve">Maintenance clients (avg, monthly)</t>
  </si>
  <si>
    <t xml:space="preserve">Stacks from completed projects</t>
  </si>
  <si>
    <t xml:space="preserve">Avg monthly maintenance fee (₹)</t>
  </si>
  <si>
    <t xml:space="preserve">₹80K–₹1L/month</t>
  </si>
  <si>
    <t xml:space="preserve">Automation project margin</t>
  </si>
  <si>
    <t xml:space="preserve">Higher delivery cost vs consulting</t>
  </si>
  <si>
    <t xml:space="preserve">Automation retainer margin</t>
  </si>
  <si>
    <t xml:space="preserve">Lower cost once system is live</t>
  </si>
  <si>
    <t xml:space="preserve">── ACADEMY DIVISION ──</t>
  </si>
  <si>
    <t xml:space="preserve">Individual courses sold (per year)</t>
  </si>
  <si>
    <t xml:space="preserve">YouTube + LinkedIn funnel; slow start</t>
  </si>
  <si>
    <t xml:space="preserve">Avg individual course price (₹)</t>
  </si>
  <si>
    <t xml:space="preserve">₹2K–₹8K range; mid-point</t>
  </si>
  <si>
    <t xml:space="preserve">Bootcamp cohorts (per year)</t>
  </si>
  <si>
    <t xml:space="preserve">10–15 students per cohort</t>
  </si>
  <si>
    <t xml:space="preserve">Avg bootcamp cohort revenue (₹)</t>
  </si>
  <si>
    <t xml:space="preserve">₹40K–₹50K per student × 12–15 students</t>
  </si>
  <si>
    <t xml:space="preserve">Corporate training programs (per year)</t>
  </si>
  <si>
    <t xml:space="preserve">B2B sales cycle; starts in Year 2</t>
  </si>
  <si>
    <t xml:space="preserve">Avg corporate program revenue (₹)</t>
  </si>
  <si>
    <t xml:space="preserve">₹4L–₹5L per company cohort (10–20 employees)</t>
  </si>
  <si>
    <t xml:space="preserve">Academy digital course margin</t>
  </si>
  <si>
    <t xml:space="preserve">Very high margin once produced</t>
  </si>
  <si>
    <t xml:space="preserve">Academy bootcamp margin</t>
  </si>
  <si>
    <t xml:space="preserve">Includes facilitator, platform, ops costs</t>
  </si>
  <si>
    <t xml:space="preserve">── OPERATING COSTS (annual ₹) ──</t>
  </si>
  <si>
    <t xml:space="preserve">Founder draw / salary (₹/year)</t>
  </si>
  <si>
    <t xml:space="preserve">₹10L Y1 → ₹24L Y3; modest ramp</t>
  </si>
  <si>
    <t xml:space="preserve">Staff &amp; contractors (₹/year)</t>
  </si>
  <si>
    <t xml:space="preserve">1 junior consultant Y2; 3 staff Y3</t>
  </si>
  <si>
    <t xml:space="preserve">Software &amp; AI tools (₹/year)</t>
  </si>
  <si>
    <t xml:space="preserve">CRM, AI APIs, LMS, design, email platform</t>
  </si>
  <si>
    <t xml:space="preserve">Marketing &amp; content (₹/year)</t>
  </si>
  <si>
    <t xml:space="preserve">Mostly organic Y1; paid boost Y2+</t>
  </si>
  <si>
    <t xml:space="preserve">Admin / legal / accounting (₹/year)</t>
  </si>
  <si>
    <t xml:space="preserve">CA, compliance, contracts</t>
  </si>
  <si>
    <t xml:space="preserve">Miscellaneous / contingency (₹/year)</t>
  </si>
  <si>
    <t xml:space="preserve">Travel, events, unexpected costs</t>
  </si>
  <si>
    <t xml:space="preserve">── TAX ──</t>
  </si>
  <si>
    <t xml:space="preserve">Effective income tax rate</t>
  </si>
  <si>
    <t xml:space="preserve">Indian corporate / professional tax estimate</t>
  </si>
  <si>
    <t xml:space="preserve">CerebroHive — Revenue Recognition Schedule  |  Conservative / Milestone-Based</t>
  </si>
  <si>
    <t xml:space="preserve">Contracted ≠ Recognized  |  Only earned revenue is recorded  |  Deferred balance tracked  |  All ₹ amounts</t>
  </si>
  <si>
    <t xml:space="preserve">Line Item</t>
  </si>
  <si>
    <t xml:space="preserve">FY2026</t>
  </si>
  <si>
    <t xml:space="preserve">FY2027</t>
  </si>
  <si>
    <t xml:space="preserve">FY2028</t>
  </si>
  <si>
    <t xml:space="preserve">Policy</t>
  </si>
  <si>
    <t xml:space="preserve">CONSULTING</t>
  </si>
  <si>
    <t xml:space="preserve">  Contracted (deals × avg size)</t>
  </si>
  <si>
    <t xml:space="preserve">4/8/14 deals × ₹7L/8L/10L</t>
  </si>
  <si>
    <t xml:space="preserve">  Less: Deferred to future periods</t>
  </si>
  <si>
    <t xml:space="preserve">30% / 22% / 15% deferred on milestones</t>
  </si>
  <si>
    <t xml:space="preserve">  Recognized Project Revenue</t>
  </si>
  <si>
    <t xml:space="preserve">Milestone completion basis</t>
  </si>
  <si>
    <t xml:space="preserve">  Retainer Revenue (earned monthly)</t>
  </si>
  <si>
    <t xml:space="preserve">100% recognized — monthly billing</t>
  </si>
  <si>
    <t xml:space="preserve">  Bad Debt Provision (3%/2.5%/2%)</t>
  </si>
  <si>
    <t xml:space="preserve">Reserve on services billings</t>
  </si>
  <si>
    <t xml:space="preserve">Total Consulting Recognized</t>
  </si>
  <si>
    <t xml:space="preserve">AUTOMATION</t>
  </si>
  <si>
    <t xml:space="preserve">  Contracted (projects × avg fee)</t>
  </si>
  <si>
    <t xml:space="preserve">2/5/10 projects × ₹8L/10L/14L</t>
  </si>
  <si>
    <t xml:space="preserve">  Less: Deferred (% completion adj.)</t>
  </si>
  <si>
    <t xml:space="preserve">35% / 25% / 18% deferred</t>
  </si>
  <si>
    <t xml:space="preserve">% completion method</t>
  </si>
  <si>
    <t xml:space="preserve">  Maintenance Retainers (earned)</t>
  </si>
  <si>
    <t xml:space="preserve">100% recognized — monthly</t>
  </si>
  <si>
    <t xml:space="preserve">Reserve on project billings only</t>
  </si>
  <si>
    <t xml:space="preserve">Total Automation Recognized</t>
  </si>
  <si>
    <t xml:space="preserve">ACADEMY</t>
  </si>
  <si>
    <t xml:space="preserve">  Individual Courses</t>
  </si>
  <si>
    <t xml:space="preserve">Recognized on enrollment/access grant</t>
  </si>
  <si>
    <t xml:space="preserve">  Bootcamp Revenue — Contracted</t>
  </si>
  <si>
    <t xml:space="preserve">1/2/4 cohorts × ₹6L/8L/10L</t>
  </si>
  <si>
    <t xml:space="preserve">  Less: Deferred Bootcamp Revenue</t>
  </si>
  <si>
    <t xml:space="preserve">15%/13%/10% deferred over duration</t>
  </si>
  <si>
    <t xml:space="preserve">  Bootcamp Recognized</t>
  </si>
  <si>
    <t xml:space="preserve">Ratable over program duration</t>
  </si>
  <si>
    <t xml:space="preserve">  Corporate Training — Contracted</t>
  </si>
  <si>
    <t xml:space="preserve">0/1/3 programs × ₹4L/5L</t>
  </si>
  <si>
    <t xml:space="preserve">  Less: Deferred Corporate Revenue</t>
  </si>
  <si>
    <t xml:space="preserve">17%/13% deferred as sessions delivered</t>
  </si>
  <si>
    <t xml:space="preserve">  Corporate Training Recognized</t>
  </si>
  <si>
    <t xml:space="preserve">Recognized per session delivered</t>
  </si>
  <si>
    <t xml:space="preserve">Total Academy Recognized</t>
  </si>
  <si>
    <t xml:space="preserve">DEFERRED REVENUE BALANCE (cumulative)</t>
  </si>
  <si>
    <t xml:space="preserve">  Opening Deferred Balance</t>
  </si>
  <si>
    <t xml:space="preserve">Prior year closing balance</t>
  </si>
  <si>
    <t xml:space="preserve">  New Deferrals this Year</t>
  </si>
  <si>
    <t xml:space="preserve">Sum of all deferred amounts above</t>
  </si>
  <si>
    <t xml:space="preserve">  Revenue Released from Prior Deferrals</t>
  </si>
  <si>
    <t xml:space="preserve">Prior deferrals recognized this year</t>
  </si>
  <si>
    <t xml:space="preserve">  Closing Deferred Revenue Balance</t>
  </si>
  <si>
    <t xml:space="preserve">Liability on balance sheet</t>
  </si>
  <si>
    <t xml:space="preserve">TOTAL NET RECOGNIZED REVENUE</t>
  </si>
  <si>
    <t xml:space="preserve">  YoY Growth in Recognized Revenue</t>
  </si>
  <si>
    <t xml:space="preserve">CerebroHive — Projected Income Statement (P&amp;L)  |  Conservative  |  ₹ INR</t>
  </si>
  <si>
    <t xml:space="preserve">Revenue = recognized amounts from Revenue Recognition sheet  |  Black = formula  |  Blue = input</t>
  </si>
  <si>
    <t xml:space="preserve">REVENUE (Recognized)</t>
  </si>
  <si>
    <t xml:space="preserve">  Consulting Revenue</t>
  </si>
  <si>
    <t xml:space="preserve">from Rev Recognition</t>
  </si>
  <si>
    <t xml:space="preserve">  Automation Revenue</t>
  </si>
  <si>
    <t xml:space="preserve">  Academy Revenue</t>
  </si>
  <si>
    <t xml:space="preserve">TOTAL RECOGNIZED REVENUE</t>
  </si>
  <si>
    <t xml:space="preserve">COST OF REVENUE</t>
  </si>
  <si>
    <t xml:space="preserve">  Consulting Delivery Costs</t>
  </si>
  <si>
    <t xml:space="preserve">Project fulfilment + retainer ops</t>
  </si>
  <si>
    <t xml:space="preserve">  Automation Delivery Costs</t>
  </si>
  <si>
    <t xml:space="preserve">Dev, testing, deployment</t>
  </si>
  <si>
    <t xml:space="preserve">  Academy Delivery Costs</t>
  </si>
  <si>
    <t xml:space="preserve">Facilitation, platform, content updates</t>
  </si>
  <si>
    <t xml:space="preserve">TOTAL COST OF REVENUE</t>
  </si>
  <si>
    <t xml:space="preserve">GROSS PROFIT</t>
  </si>
  <si>
    <t xml:space="preserve">  Gross Margin %</t>
  </si>
  <si>
    <t xml:space="preserve">OPERATING EXPENSES</t>
  </si>
  <si>
    <t xml:space="preserve">  Founder Draw / Salary</t>
  </si>
  <si>
    <t xml:space="preserve">  Staff &amp; Contractors</t>
  </si>
  <si>
    <t xml:space="preserve">  Software &amp; AI Tools</t>
  </si>
  <si>
    <t xml:space="preserve">  Marketing &amp; Content</t>
  </si>
  <si>
    <t xml:space="preserve">  Admin / Legal / Accounting</t>
  </si>
  <si>
    <t xml:space="preserve">  Miscellaneous / Contingency</t>
  </si>
  <si>
    <t xml:space="preserve">TOTAL OPERATING EXPENSES</t>
  </si>
  <si>
    <t xml:space="preserve">EBITDA</t>
  </si>
  <si>
    <t xml:space="preserve">  EBITDA Margin %</t>
  </si>
  <si>
    <t xml:space="preserve">  Depreciation &amp; Amortization</t>
  </si>
  <si>
    <t xml:space="preserve">Minor — no major capex assumed</t>
  </si>
  <si>
    <t xml:space="preserve">EBIT (Operating Income)</t>
  </si>
  <si>
    <t xml:space="preserve">  Interest Income (on cash reserves)</t>
  </si>
  <si>
    <t xml:space="preserve">FD / liquid fund interest ~6% on avg cash</t>
  </si>
  <si>
    <t xml:space="preserve">EBT (Pre-Tax Income)</t>
  </si>
  <si>
    <t xml:space="preserve">  Income Tax (25% / 25% / 26%)</t>
  </si>
  <si>
    <t xml:space="preserve">NET INCOME (PAT)</t>
  </si>
  <si>
    <t xml:space="preserve">  Net Margin %</t>
  </si>
  <si>
    <t xml:space="preserve">RETAINED EARNINGS</t>
  </si>
  <si>
    <t xml:space="preserve">  Opening Retained Earnings</t>
  </si>
  <si>
    <t xml:space="preserve">  Net Income for Year</t>
  </si>
  <si>
    <t xml:space="preserve">  Closing Retained Earnings</t>
  </si>
  <si>
    <t xml:space="preserve">CerebroHive — Cash Flow Summary &amp; KPI Dashboard  |  India  |  ₹ INR</t>
  </si>
  <si>
    <t xml:space="preserve">Conservative cash flow — deferred revenue excluded from operating cash until collected</t>
  </si>
  <si>
    <t xml:space="preserve">OPERATING CASH FLOW</t>
  </si>
  <si>
    <t xml:space="preserve">  Net Income (from P&amp;L)</t>
  </si>
  <si>
    <t xml:space="preserve">  Add back: D&amp;A</t>
  </si>
  <si>
    <t xml:space="preserve">  Increase in Deferred Revenue (liability)</t>
  </si>
  <si>
    <t xml:space="preserve">Cash collected but not yet recognized</t>
  </si>
  <si>
    <t xml:space="preserve">  Increase in Accounts Receivable</t>
  </si>
  <si>
    <t xml:space="preserve">Conservative — receivables lag billings</t>
  </si>
  <si>
    <t xml:space="preserve">  Change in Other Working Capital</t>
  </si>
  <si>
    <t xml:space="preserve">Net Operating Cash Flow</t>
  </si>
  <si>
    <t xml:space="preserve">INVESTING ACTIVITIES</t>
  </si>
  <si>
    <t xml:space="preserve">  Course &amp; Content Development</t>
  </si>
  <si>
    <t xml:space="preserve">Capitalized content production cost</t>
  </si>
  <si>
    <t xml:space="preserve">  Equipment / Tech (laptops, infra)</t>
  </si>
  <si>
    <t xml:space="preserve">Net Investing Cash Flow</t>
  </si>
  <si>
    <t xml:space="preserve">FINANCING ACTIVITIES</t>
  </si>
  <si>
    <t xml:space="preserve">  Founder Draw (already in OpEx)</t>
  </si>
  <si>
    <t xml:space="preserve">Salary in P&amp;L; no additional draw</t>
  </si>
  <si>
    <t xml:space="preserve">Net Financing Cash Flow</t>
  </si>
  <si>
    <t xml:space="preserve">NET CHANGE IN CASH</t>
  </si>
  <si>
    <t xml:space="preserve">  Opening Cash</t>
  </si>
  <si>
    <t xml:space="preserve">  Closing Cash Balance</t>
  </si>
  <si>
    <t xml:space="preserve">RUNWAY (months at current burn)</t>
  </si>
  <si>
    <t xml:space="preserve">KEY PERFORMANCE INDICATORS</t>
  </si>
  <si>
    <t xml:space="preserve">Total Recognized Revenue (₹)</t>
  </si>
  <si>
    <t xml:space="preserve">  YoY Growth</t>
  </si>
  <si>
    <t xml:space="preserve">Gross Profit (₹)</t>
  </si>
  <si>
    <t xml:space="preserve">EBITDA (₹)</t>
  </si>
  <si>
    <t xml:space="preserve">Net Income / PAT (₹)</t>
  </si>
  <si>
    <t xml:space="preserve">DEFERRED REVENUE BALANCE (₹)</t>
  </si>
  <si>
    <t xml:space="preserve">Conservative: future obligation</t>
  </si>
  <si>
    <t xml:space="preserve">Accounts Receivable Outstanding (₹)</t>
  </si>
  <si>
    <t xml:space="preserve">Conservative: 30-45 day collection</t>
  </si>
  <si>
    <t xml:space="preserve">Bad Debt Provision YTD (₹)</t>
  </si>
  <si>
    <t xml:space="preserve">Cumulative write-off reserve</t>
  </si>
  <si>
    <t xml:space="preserve">MRR / ARR BREAKDOWN</t>
  </si>
  <si>
    <t xml:space="preserve">  Consulting Retainer MRR (₹)</t>
  </si>
  <si>
    <t xml:space="preserve">1/3/6 clients × ₹1.5L/1.8L/2L</t>
  </si>
  <si>
    <t xml:space="preserve">  Automation Maintenance MRR (₹)</t>
  </si>
  <si>
    <t xml:space="preserve">1/4/10 clients × ₹80K/90K/1L</t>
  </si>
  <si>
    <t xml:space="preserve">Total MRR (₹)</t>
  </si>
  <si>
    <t xml:space="preserve">Total ARR (₹)</t>
  </si>
  <si>
    <t xml:space="preserve">DEAL METRICS</t>
  </si>
  <si>
    <t xml:space="preserve">  Total Consulting Deals (year)</t>
  </si>
  <si>
    <t xml:space="preserve">  Avg Consulting Deal Size (₹)</t>
  </si>
  <si>
    <t xml:space="preserve">India market</t>
  </si>
  <si>
    <t xml:space="preserve">  Avg Sales Cycle (days)</t>
  </si>
  <si>
    <t xml:space="preserve">Enterprise longer in Y3</t>
  </si>
  <si>
    <t xml:space="preserve">  Client Retention Rate</t>
  </si>
  <si>
    <t xml:space="preserve">Conservative; brand builds over time</t>
  </si>
  <si>
    <t xml:space="preserve">  Cross-Sell Rate (consulting→auto)</t>
  </si>
  <si>
    <t xml:space="preserve">CerebroHive — Scenario Analysis  |  FY2026 Year 1  |  ₹ INR  |  India Market</t>
  </si>
  <si>
    <t xml:space="preserve">Bear = very conservative  |  Base = plan  |  Bull = optimistic but realistic  |  All revenue figures are recognized (not contracted)</t>
  </si>
  <si>
    <t xml:space="preserve">Metric</t>
  </si>
  <si>
    <t xml:space="preserve">Bear Case</t>
  </si>
  <si>
    <t xml:space="preserve">Base Case (Plan)</t>
  </si>
  <si>
    <t xml:space="preserve">Bull Case</t>
  </si>
  <si>
    <t xml:space="preserve">Key Assumption Driver</t>
  </si>
  <si>
    <t xml:space="preserve">REVENUE ASSUMPTIONS</t>
  </si>
  <si>
    <t xml:space="preserve">Consulting deals (year)</t>
  </si>
  <si>
    <t xml:space="preserve">Founder bandwidth and referral rate</t>
  </si>
  <si>
    <t xml:space="preserve">Avg deal size (₹)</t>
  </si>
  <si>
    <t xml:space="preserve">Brand positioning and competition</t>
  </si>
  <si>
    <t xml:space="preserve">Recognition rate</t>
  </si>
  <si>
    <t xml:space="preserve">65%</t>
  </si>
  <si>
    <t xml:space="preserve">70%</t>
  </si>
  <si>
    <t xml:space="preserve">75%</t>
  </si>
  <si>
    <t xml:space="preserve">Milestone certainty and payment speed</t>
  </si>
  <si>
    <t xml:space="preserve">Retainer clients (avg)</t>
  </si>
  <si>
    <t xml:space="preserve">Conversion from consulting</t>
  </si>
  <si>
    <t xml:space="preserve">Automation projects</t>
  </si>
  <si>
    <t xml:space="preserve">Cross-sell effectiveness</t>
  </si>
  <si>
    <t xml:space="preserve">Academy students (courses)</t>
  </si>
  <si>
    <t xml:space="preserve">Content reach and conversion</t>
  </si>
  <si>
    <t xml:space="preserve">RECOGNIZED REVENUE OUTCOMES</t>
  </si>
  <si>
    <t xml:space="preserve">Consulting Revenue (₹)</t>
  </si>
  <si>
    <t xml:space="preserve">Including retainers</t>
  </si>
  <si>
    <t xml:space="preserve">Automation Revenue (₹)</t>
  </si>
  <si>
    <t xml:space="preserve">Projects + maintenance</t>
  </si>
  <si>
    <t xml:space="preserve">Academy Revenue (₹)</t>
  </si>
  <si>
    <t xml:space="preserve">Courses + bootcamp</t>
  </si>
  <si>
    <t xml:space="preserve">Bad Debt Provision (₹)</t>
  </si>
  <si>
    <t xml:space="preserve">3% on services revenue</t>
  </si>
  <si>
    <t xml:space="preserve">TOTAL RECOGNIZED REVENUE (₹)</t>
  </si>
  <si>
    <t xml:space="preserve">PROFITABILITY OUTCOMES</t>
  </si>
  <si>
    <t xml:space="preserve">Gross Margin %</t>
  </si>
  <si>
    <t xml:space="preserve">58%</t>
  </si>
  <si>
    <t xml:space="preserve">67%</t>
  </si>
  <si>
    <t xml:space="preserve">EBITDA Margin %</t>
  </si>
  <si>
    <t xml:space="preserve">7%</t>
  </si>
  <si>
    <t xml:space="preserve">41%</t>
  </si>
  <si>
    <t xml:space="preserve">56%</t>
  </si>
  <si>
    <t xml:space="preserve">After tax</t>
  </si>
  <si>
    <t xml:space="preserve">Net Margin %</t>
  </si>
  <si>
    <t xml:space="preserve">5%</t>
  </si>
  <si>
    <t xml:space="preserve">31%</t>
  </si>
  <si>
    <t xml:space="preserve">42%</t>
  </si>
  <si>
    <t xml:space="preserve">CASH POSITION (Year End)</t>
  </si>
  <si>
    <t xml:space="preserve">Operating Cash Flow (₹)</t>
  </si>
  <si>
    <t xml:space="preserve">Closing Cash Balance (₹)</t>
  </si>
  <si>
    <t xml:space="preserve">₹5L opening assumed</t>
  </si>
  <si>
    <t xml:space="preserve">WHAT DRIVES EACH SCENARIO</t>
  </si>
  <si>
    <t xml:space="preserve">Bear: only 2 consulting deals close; no referrals; YouTube traction minimal; no automation cross-sell</t>
  </si>
  <si>
    <t xml:space="preserve">Base: plan assumptions; 4 deals; 1 retainer; 2 automation; slow Academy start via LinkedIn</t>
  </si>
  <si>
    <t xml:space="preserve">Bull: 7 deals via referral + outbound; 2 enterprise retainers; 4 automation builds; YouTube breakthrough</t>
  </si>
  <si>
    <t xml:space="preserve">CerebroHive — India Market Pricing Reference</t>
  </si>
  <si>
    <t xml:space="preserve">Market-appropriate pricing for Indian SME, mid-market, and enterprise clients  |  2025–2026</t>
  </si>
  <si>
    <t xml:space="preserve">Service / Offering</t>
  </si>
  <si>
    <t xml:space="preserve">Price Range (₹)</t>
  </si>
  <si>
    <t xml:space="preserve">Typical Target</t>
  </si>
  <si>
    <t xml:space="preserve">Notes</t>
  </si>
  <si>
    <t xml:space="preserve">── CONSULTING ──</t>
  </si>
  <si>
    <t xml:space="preserve">AI Readiness Assessment</t>
  </si>
  <si>
    <t xml:space="preserve">₹1,50,000 – ₹4,00,000</t>
  </si>
  <si>
    <t xml:space="preserve">SMEs, Startups</t>
  </si>
  <si>
    <t xml:space="preserve">2–4 day engagement; report + scorecard</t>
  </si>
  <si>
    <t xml:space="preserve">AI Strategy &amp; Roadmap</t>
  </si>
  <si>
    <t xml:space="preserve">₹4,00,000 – ₹12,00,000</t>
  </si>
  <si>
    <t xml:space="preserve">SME / Mid-market</t>
  </si>
  <si>
    <t xml:space="preserve">4–6 week project; phased AI plan</t>
  </si>
  <si>
    <t xml:space="preserve">AI Governance Framework</t>
  </si>
  <si>
    <t xml:space="preserve">₹5,00,000 – ₹15,00,000</t>
  </si>
  <si>
    <t xml:space="preserve">Mid-market, Enterprise</t>
  </si>
  <si>
    <t xml:space="preserve">Policy docs, risk controls, oversight model</t>
  </si>
  <si>
    <t xml:space="preserve">AI Transformation Program</t>
  </si>
  <si>
    <t xml:space="preserve">₹15,00,000 – ₹75,00,000</t>
  </si>
  <si>
    <t xml:space="preserve">3–6 month embedded; highest ticket</t>
  </si>
  <si>
    <t xml:space="preserve">Monthly AI Advisory Retainer</t>
  </si>
  <si>
    <t xml:space="preserve">₹1,00,000 – ₹3,00,000/mo</t>
  </si>
  <si>
    <t xml:space="preserve">Post-engagement clients</t>
  </si>
  <si>
    <t xml:space="preserve">Ongoing strategy support; high margin</t>
  </si>
  <si>
    <t xml:space="preserve">── AUTOMATION ──</t>
  </si>
  <si>
    <t xml:space="preserve">Single Workflow Automation</t>
  </si>
  <si>
    <t xml:space="preserve">₹1,50,000 – ₹5,00,000</t>
  </si>
  <si>
    <t xml:space="preserve">SMEs</t>
  </si>
  <si>
    <t xml:space="preserve">n8n / Zapier / custom; 2–4 week build</t>
  </si>
  <si>
    <t xml:space="preserve">AI Chatbot / Support Agent</t>
  </si>
  <si>
    <t xml:space="preserve">₹3,00,000 – ₹10,00,000</t>
  </si>
  <si>
    <t xml:space="preserve">LLM-powered; 4–8 week build</t>
  </si>
  <si>
    <t xml:space="preserve">AI Sales / Lead Agent</t>
  </si>
  <si>
    <t xml:space="preserve">Sales-led businesses</t>
  </si>
  <si>
    <t xml:space="preserve">CRM integration; lead scoring</t>
  </si>
  <si>
    <t xml:space="preserve">Full AI Agent System</t>
  </si>
  <si>
    <t xml:space="preserve">₹8,00,000 – ₹25,00,000</t>
  </si>
  <si>
    <t xml:space="preserve">Multi-agent; LangGraph; complex builds</t>
  </si>
  <si>
    <t xml:space="preserve">CRM / ERP Automation</t>
  </si>
  <si>
    <t xml:space="preserve">₹6,00,000 – ₹20,00,000</t>
  </si>
  <si>
    <t xml:space="preserve">Mid-market</t>
  </si>
  <si>
    <t xml:space="preserve">SAP, Zoho, custom ERP integration</t>
  </si>
  <si>
    <t xml:space="preserve">Monthly Maintenance Retainer</t>
  </si>
  <si>
    <t xml:space="preserve">₹60,000 – ₹1,50,000/mo</t>
  </si>
  <si>
    <t xml:space="preserve">Post-build clients</t>
  </si>
  <si>
    <t xml:space="preserve">Monitoring, updates, iteration</t>
  </si>
  <si>
    <t xml:space="preserve">── ACADEMY ──</t>
  </si>
  <si>
    <t xml:space="preserve">Individual Online Course</t>
  </si>
  <si>
    <t xml:space="preserve">₹2,000 – ₹8,000</t>
  </si>
  <si>
    <t xml:space="preserve">Professionals, Students</t>
  </si>
  <si>
    <t xml:space="preserve">Self-paced; lifetime access</t>
  </si>
  <si>
    <t xml:space="preserve">AI Bootcamp (4–6 weeks)</t>
  </si>
  <si>
    <t xml:space="preserve">₹15,000 – ₹50,000/student</t>
  </si>
  <si>
    <t xml:space="preserve">Professionals</t>
  </si>
  <si>
    <t xml:space="preserve">Live + recorded; project-based; certificate</t>
  </si>
  <si>
    <t xml:space="preserve">Certification Program</t>
  </si>
  <si>
    <t xml:space="preserve">₹8,000 – ₹20,000</t>
  </si>
  <si>
    <t xml:space="preserve">Proctored exam + certificate</t>
  </si>
  <si>
    <t xml:space="preserve">Career Accelerator</t>
  </si>
  <si>
    <t xml:space="preserve">₹25,000 – ₹60,000</t>
  </si>
  <si>
    <t xml:space="preserve">Career changers</t>
  </si>
  <si>
    <t xml:space="preserve">Mentored; portfolio-based</t>
  </si>
  <si>
    <t xml:space="preserve">Corporate Training (per company)</t>
  </si>
  <si>
    <t xml:space="preserve">₹2,00,000 – ₹8,00,000</t>
  </si>
  <si>
    <t xml:space="preserve">Enterprise L&amp;D / HR</t>
  </si>
  <si>
    <t xml:space="preserve">Custom; on-site or virtual; 10–30 staff</t>
  </si>
  <si>
    <t xml:space="preserve">── COMPETITOR CONTEXT ──</t>
  </si>
  <si>
    <t xml:space="preserve">Freelance AI consultant (daily rate)</t>
  </si>
  <si>
    <t xml:space="preserve">₹10,000 – ₹40,000/day</t>
  </si>
  <si>
    <t xml:space="preserve">— (competitor)</t>
  </si>
  <si>
    <t xml:space="preserve">Unstructured; no IP; no team</t>
  </si>
  <si>
    <t xml:space="preserve">IT services company AI projects</t>
  </si>
  <si>
    <t xml:space="preserve">₹5,00,000 – ₹50,00,000</t>
  </si>
  <si>
    <t xml:space="preserve">Higher cost; slower; generalist</t>
  </si>
  <si>
    <t xml:space="preserve">Udemy / Coursera (comparable courses)</t>
  </si>
  <si>
    <t xml:space="preserve">₹500 – ₹3,000</t>
  </si>
  <si>
    <t xml:space="preserve">No live support; no certificate parity</t>
  </si>
  <si>
    <t xml:space="preserve">Local training institutes</t>
  </si>
  <si>
    <t xml:space="preserve">₹10,000 – ₹30,000</t>
  </si>
  <si>
    <t xml:space="preserve">Outdated curriculum; no AI specialization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</si>
</sst>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\₹#,##0;&quot;(₹&quot;#,##0\);\-"/>
    <numFmt numFmtId="168" formatCode="0.0%;\(0.0%\);\-"/>
    <numFmt numFmtId="169" formatCode="0.0"/>
    <numFmt numFmtId="170" formatCode="\₹#,##0;&quot;(₹&quot;#,##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5F7F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5F7FA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C2200"/>
      <name val="Arial"/>
      <family val="0"/>
      <charset val="1"/>
    </font>
    <font>
      <sz val="10"/>
      <color rgb="FF1A5FB4"/>
      <name val="Arial"/>
      <family val="0"/>
      <charset val="1"/>
    </font>
    <font>
      <sz val="10"/>
      <color rgb="FF2E7D3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77777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8ECF4"/>
        <bgColor rgb="FFEAF4FF"/>
      </patternFill>
    </fill>
    <fill>
      <patternFill patternType="solid">
        <fgColor rgb="FFD9DCE6"/>
        <bgColor rgb="FFE8ECF4"/>
      </patternFill>
    </fill>
    <fill>
      <patternFill patternType="solid">
        <fgColor rgb="FFFFE5E5"/>
        <bgColor rgb="FFE8ECF4"/>
      </patternFill>
    </fill>
    <fill>
      <patternFill patternType="solid">
        <fgColor rgb="FFEAF4FF"/>
        <bgColor rgb="FFF5F7FA"/>
      </patternFill>
    </fill>
    <fill>
      <patternFill patternType="solid">
        <fgColor rgb="FFE5FFE8"/>
        <bgColor rgb="FFEAF4FF"/>
      </patternFill>
    </fill>
    <fill>
      <patternFill patternType="solid">
        <fgColor rgb="FF8B0000"/>
        <bgColor rgb="FF800000"/>
      </patternFill>
    </fill>
    <fill>
      <patternFill patternType="solid">
        <fgColor rgb="FF1B5E20"/>
        <bgColor rgb="FF2E7D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7FA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555555"/>
      <rgbColor rgb="FFFFE5E5"/>
      <rgbColor rgb="FFE5FFE8"/>
      <rgbColor rgb="FF660066"/>
      <rgbColor rgb="FFFF8080"/>
      <rgbColor rgb="FF1A5FB4"/>
      <rgbColor rgb="FFD9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F"/>
      <rgbColor rgb="FFE8EC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E3A5F"/>
      <rgbColor rgb="FF2E7D32"/>
      <rgbColor rgb="FF1B5E20"/>
      <rgbColor rgb="FF222222"/>
      <rgbColor rgb="FFCC22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3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8" hidden="false" customHeight="true" outlineLevel="0" collapsed="false">
      <c r="A5" s="5" t="s">
        <v>7</v>
      </c>
      <c r="B5" s="5"/>
      <c r="C5" s="5"/>
      <c r="D5" s="5"/>
      <c r="E5" s="5"/>
    </row>
    <row r="6" customFormat="false" ht="15" hidden="false" customHeight="true" outlineLevel="0" collapsed="false">
      <c r="A6" s="6" t="s">
        <v>8</v>
      </c>
      <c r="B6" s="7" t="n">
        <v>0.7</v>
      </c>
      <c r="C6" s="7" t="n">
        <v>0.78</v>
      </c>
      <c r="D6" s="7" t="n">
        <v>0.85</v>
      </c>
      <c r="E6" s="8" t="s">
        <v>9</v>
      </c>
    </row>
    <row r="7" customFormat="false" ht="15" hidden="false" customHeight="true" outlineLevel="0" collapsed="false">
      <c r="A7" s="6" t="s">
        <v>10</v>
      </c>
      <c r="B7" s="7" t="n">
        <v>0.65</v>
      </c>
      <c r="C7" s="7" t="n">
        <v>0.75</v>
      </c>
      <c r="D7" s="7" t="n">
        <v>0.82</v>
      </c>
      <c r="E7" s="8" t="s">
        <v>11</v>
      </c>
    </row>
    <row r="8" customFormat="false" ht="15" hidden="false" customHeight="true" outlineLevel="0" collapsed="false">
      <c r="A8" s="6" t="s">
        <v>12</v>
      </c>
      <c r="B8" s="7" t="n">
        <v>0.85</v>
      </c>
      <c r="C8" s="7" t="n">
        <v>0.87</v>
      </c>
      <c r="D8" s="7" t="n">
        <v>0.9</v>
      </c>
      <c r="E8" s="8" t="s">
        <v>13</v>
      </c>
    </row>
    <row r="9" customFormat="false" ht="15" hidden="false" customHeight="true" outlineLevel="0" collapsed="false">
      <c r="A9" s="6" t="s">
        <v>14</v>
      </c>
      <c r="B9" s="7" t="n">
        <v>0.8</v>
      </c>
      <c r="C9" s="7" t="n">
        <v>0.83</v>
      </c>
      <c r="D9" s="7" t="n">
        <v>0.87</v>
      </c>
      <c r="E9" s="8" t="s">
        <v>15</v>
      </c>
    </row>
    <row r="10" customFormat="false" ht="15" hidden="false" customHeight="true" outlineLevel="0" collapsed="false">
      <c r="A10" s="6" t="s">
        <v>16</v>
      </c>
      <c r="B10" s="7" t="n">
        <v>0.03</v>
      </c>
      <c r="C10" s="7" t="n">
        <v>0.025</v>
      </c>
      <c r="D10" s="7" t="n">
        <v>0.02</v>
      </c>
      <c r="E10" s="8" t="s">
        <v>17</v>
      </c>
    </row>
    <row r="12" customFormat="false" ht="18" hidden="false" customHeight="true" outlineLevel="0" collapsed="false">
      <c r="A12" s="5" t="s">
        <v>18</v>
      </c>
      <c r="B12" s="5"/>
      <c r="C12" s="5"/>
      <c r="D12" s="5"/>
      <c r="E12" s="5"/>
    </row>
    <row r="13" customFormat="false" ht="15" hidden="false" customHeight="true" outlineLevel="0" collapsed="false">
      <c r="A13" s="6" t="s">
        <v>19</v>
      </c>
      <c r="B13" s="9" t="n">
        <v>4</v>
      </c>
      <c r="C13" s="9" t="n">
        <v>8</v>
      </c>
      <c r="D13" s="9" t="n">
        <v>14</v>
      </c>
      <c r="E13" s="8" t="s">
        <v>20</v>
      </c>
    </row>
    <row r="14" customFormat="false" ht="15" hidden="false" customHeight="true" outlineLevel="0" collapsed="false">
      <c r="A14" s="6" t="s">
        <v>21</v>
      </c>
      <c r="B14" s="10" t="n">
        <v>700000</v>
      </c>
      <c r="C14" s="10" t="n">
        <v>800000</v>
      </c>
      <c r="D14" s="10" t="n">
        <v>1000000</v>
      </c>
      <c r="E14" s="8" t="s">
        <v>22</v>
      </c>
    </row>
    <row r="15" customFormat="false" ht="15" hidden="false" customHeight="true" outlineLevel="0" collapsed="false">
      <c r="A15" s="6" t="s">
        <v>23</v>
      </c>
      <c r="B15" s="9" t="n">
        <v>1</v>
      </c>
      <c r="C15" s="9" t="n">
        <v>3</v>
      </c>
      <c r="D15" s="9" t="n">
        <v>6</v>
      </c>
      <c r="E15" s="8" t="s">
        <v>24</v>
      </c>
    </row>
    <row r="16" customFormat="false" ht="15" hidden="false" customHeight="true" outlineLevel="0" collapsed="false">
      <c r="A16" s="6" t="s">
        <v>25</v>
      </c>
      <c r="B16" s="10" t="n">
        <v>150000</v>
      </c>
      <c r="C16" s="10" t="n">
        <v>180000</v>
      </c>
      <c r="D16" s="10" t="n">
        <v>200000</v>
      </c>
      <c r="E16" s="8" t="s">
        <v>26</v>
      </c>
    </row>
    <row r="17" customFormat="false" ht="15" hidden="false" customHeight="true" outlineLevel="0" collapsed="false">
      <c r="A17" s="6" t="s">
        <v>27</v>
      </c>
      <c r="B17" s="7" t="n">
        <v>0.6</v>
      </c>
      <c r="C17" s="7" t="n">
        <v>0.63</v>
      </c>
      <c r="D17" s="7" t="n">
        <v>0.65</v>
      </c>
      <c r="E17" s="8" t="s">
        <v>28</v>
      </c>
    </row>
    <row r="19" customFormat="false" ht="18" hidden="false" customHeight="true" outlineLevel="0" collapsed="false">
      <c r="A19" s="5" t="s">
        <v>29</v>
      </c>
      <c r="B19" s="5"/>
      <c r="C19" s="5"/>
      <c r="D19" s="5"/>
      <c r="E19" s="5"/>
    </row>
    <row r="20" customFormat="false" ht="15" hidden="false" customHeight="true" outlineLevel="0" collapsed="false">
      <c r="A20" s="6" t="s">
        <v>30</v>
      </c>
      <c r="B20" s="9" t="n">
        <v>2</v>
      </c>
      <c r="C20" s="9" t="n">
        <v>5</v>
      </c>
      <c r="D20" s="9" t="n">
        <v>10</v>
      </c>
      <c r="E20" s="8" t="s">
        <v>31</v>
      </c>
    </row>
    <row r="21" customFormat="false" ht="15" hidden="false" customHeight="true" outlineLevel="0" collapsed="false">
      <c r="A21" s="6" t="s">
        <v>32</v>
      </c>
      <c r="B21" s="10" t="n">
        <v>800000</v>
      </c>
      <c r="C21" s="10" t="n">
        <v>1000000</v>
      </c>
      <c r="D21" s="10" t="n">
        <v>1400000</v>
      </c>
      <c r="E21" s="8" t="s">
        <v>33</v>
      </c>
    </row>
    <row r="22" customFormat="false" ht="15" hidden="false" customHeight="true" outlineLevel="0" collapsed="false">
      <c r="A22" s="6" t="s">
        <v>34</v>
      </c>
      <c r="B22" s="9" t="n">
        <v>1</v>
      </c>
      <c r="C22" s="9" t="n">
        <v>4</v>
      </c>
      <c r="D22" s="9" t="n">
        <v>10</v>
      </c>
      <c r="E22" s="8" t="s">
        <v>35</v>
      </c>
    </row>
    <row r="23" customFormat="false" ht="15" hidden="false" customHeight="true" outlineLevel="0" collapsed="false">
      <c r="A23" s="6" t="s">
        <v>36</v>
      </c>
      <c r="B23" s="10" t="n">
        <v>80000</v>
      </c>
      <c r="C23" s="10" t="n">
        <v>90000</v>
      </c>
      <c r="D23" s="10" t="n">
        <v>100000</v>
      </c>
      <c r="E23" s="8" t="s">
        <v>37</v>
      </c>
    </row>
    <row r="24" customFormat="false" ht="15" hidden="false" customHeight="true" outlineLevel="0" collapsed="false">
      <c r="A24" s="6" t="s">
        <v>38</v>
      </c>
      <c r="B24" s="7" t="n">
        <v>0.5</v>
      </c>
      <c r="C24" s="7" t="n">
        <v>0.55</v>
      </c>
      <c r="D24" s="7" t="n">
        <v>0.58</v>
      </c>
      <c r="E24" s="8" t="s">
        <v>39</v>
      </c>
    </row>
    <row r="25" customFormat="false" ht="15" hidden="false" customHeight="true" outlineLevel="0" collapsed="false">
      <c r="A25" s="6" t="s">
        <v>40</v>
      </c>
      <c r="B25" s="7" t="n">
        <v>0.75</v>
      </c>
      <c r="C25" s="7" t="n">
        <v>0.78</v>
      </c>
      <c r="D25" s="7" t="n">
        <v>0.8</v>
      </c>
      <c r="E25" s="8" t="s">
        <v>41</v>
      </c>
    </row>
    <row r="27" customFormat="false" ht="18" hidden="false" customHeight="true" outlineLevel="0" collapsed="false">
      <c r="A27" s="5" t="s">
        <v>42</v>
      </c>
      <c r="B27" s="5"/>
      <c r="C27" s="5"/>
      <c r="D27" s="5"/>
      <c r="E27" s="5"/>
    </row>
    <row r="28" customFormat="false" ht="15" hidden="false" customHeight="true" outlineLevel="0" collapsed="false">
      <c r="A28" s="6" t="s">
        <v>43</v>
      </c>
      <c r="B28" s="9" t="n">
        <v>25</v>
      </c>
      <c r="C28" s="9" t="n">
        <v>80</v>
      </c>
      <c r="D28" s="9" t="n">
        <v>200</v>
      </c>
      <c r="E28" s="8" t="s">
        <v>44</v>
      </c>
    </row>
    <row r="29" customFormat="false" ht="15" hidden="false" customHeight="true" outlineLevel="0" collapsed="false">
      <c r="A29" s="6" t="s">
        <v>45</v>
      </c>
      <c r="B29" s="10" t="n">
        <v>5000</v>
      </c>
      <c r="C29" s="10" t="n">
        <v>5000</v>
      </c>
      <c r="D29" s="10" t="n">
        <v>6000</v>
      </c>
      <c r="E29" s="8" t="s">
        <v>46</v>
      </c>
    </row>
    <row r="30" customFormat="false" ht="15" hidden="false" customHeight="true" outlineLevel="0" collapsed="false">
      <c r="A30" s="6" t="s">
        <v>47</v>
      </c>
      <c r="B30" s="9" t="n">
        <v>1</v>
      </c>
      <c r="C30" s="9" t="n">
        <v>2</v>
      </c>
      <c r="D30" s="9" t="n">
        <v>4</v>
      </c>
      <c r="E30" s="8" t="s">
        <v>48</v>
      </c>
    </row>
    <row r="31" customFormat="false" ht="15" hidden="false" customHeight="true" outlineLevel="0" collapsed="false">
      <c r="A31" s="6" t="s">
        <v>49</v>
      </c>
      <c r="B31" s="10" t="n">
        <v>600000</v>
      </c>
      <c r="C31" s="10" t="n">
        <v>800000</v>
      </c>
      <c r="D31" s="10" t="n">
        <v>1000000</v>
      </c>
      <c r="E31" s="8" t="s">
        <v>50</v>
      </c>
    </row>
    <row r="32" customFormat="false" ht="15" hidden="false" customHeight="true" outlineLevel="0" collapsed="false">
      <c r="A32" s="6" t="s">
        <v>51</v>
      </c>
      <c r="B32" s="9" t="n">
        <v>0</v>
      </c>
      <c r="C32" s="9" t="n">
        <v>1</v>
      </c>
      <c r="D32" s="9" t="n">
        <v>3</v>
      </c>
      <c r="E32" s="8" t="s">
        <v>52</v>
      </c>
    </row>
    <row r="33" customFormat="false" ht="15" hidden="false" customHeight="true" outlineLevel="0" collapsed="false">
      <c r="A33" s="6" t="s">
        <v>53</v>
      </c>
      <c r="B33" s="9" t="n">
        <v>0</v>
      </c>
      <c r="C33" s="10" t="n">
        <v>400000</v>
      </c>
      <c r="D33" s="10" t="n">
        <v>500000</v>
      </c>
      <c r="E33" s="8" t="s">
        <v>54</v>
      </c>
    </row>
    <row r="34" customFormat="false" ht="15" hidden="false" customHeight="true" outlineLevel="0" collapsed="false">
      <c r="A34" s="6" t="s">
        <v>55</v>
      </c>
      <c r="B34" s="7" t="n">
        <v>0.85</v>
      </c>
      <c r="C34" s="7" t="n">
        <v>0.85</v>
      </c>
      <c r="D34" s="7" t="n">
        <v>0.85</v>
      </c>
      <c r="E34" s="8" t="s">
        <v>56</v>
      </c>
    </row>
    <row r="35" customFormat="false" ht="15" hidden="false" customHeight="true" outlineLevel="0" collapsed="false">
      <c r="A35" s="6" t="s">
        <v>57</v>
      </c>
      <c r="B35" s="7" t="n">
        <v>0.55</v>
      </c>
      <c r="C35" s="7" t="n">
        <v>0.58</v>
      </c>
      <c r="D35" s="7" t="n">
        <v>0.62</v>
      </c>
      <c r="E35" s="8" t="s">
        <v>58</v>
      </c>
    </row>
    <row r="37" customFormat="false" ht="18" hidden="false" customHeight="true" outlineLevel="0" collapsed="false">
      <c r="A37" s="5" t="s">
        <v>59</v>
      </c>
      <c r="B37" s="5"/>
      <c r="C37" s="5"/>
      <c r="D37" s="5"/>
      <c r="E37" s="5"/>
    </row>
    <row r="38" customFormat="false" ht="15" hidden="false" customHeight="true" outlineLevel="0" collapsed="false">
      <c r="A38" s="6" t="s">
        <v>60</v>
      </c>
      <c r="B38" s="10" t="n">
        <v>1000000</v>
      </c>
      <c r="C38" s="10" t="n">
        <v>1500000</v>
      </c>
      <c r="D38" s="10" t="n">
        <v>2400000</v>
      </c>
      <c r="E38" s="8" t="s">
        <v>61</v>
      </c>
    </row>
    <row r="39" customFormat="false" ht="15" hidden="false" customHeight="true" outlineLevel="0" collapsed="false">
      <c r="A39" s="6" t="s">
        <v>62</v>
      </c>
      <c r="B39" s="9" t="n">
        <v>0</v>
      </c>
      <c r="C39" s="10" t="n">
        <v>1200000</v>
      </c>
      <c r="D39" s="10" t="n">
        <v>3600000</v>
      </c>
      <c r="E39" s="8" t="s">
        <v>63</v>
      </c>
    </row>
    <row r="40" customFormat="false" ht="15" hidden="false" customHeight="true" outlineLevel="0" collapsed="false">
      <c r="A40" s="6" t="s">
        <v>64</v>
      </c>
      <c r="B40" s="10" t="n">
        <v>240000</v>
      </c>
      <c r="C40" s="10" t="n">
        <v>360000</v>
      </c>
      <c r="D40" s="10" t="n">
        <v>600000</v>
      </c>
      <c r="E40" s="8" t="s">
        <v>65</v>
      </c>
    </row>
    <row r="41" customFormat="false" ht="15" hidden="false" customHeight="true" outlineLevel="0" collapsed="false">
      <c r="A41" s="6" t="s">
        <v>66</v>
      </c>
      <c r="B41" s="10" t="n">
        <v>150000</v>
      </c>
      <c r="C41" s="10" t="n">
        <v>400000</v>
      </c>
      <c r="D41" s="10" t="n">
        <v>800000</v>
      </c>
      <c r="E41" s="8" t="s">
        <v>67</v>
      </c>
    </row>
    <row r="42" customFormat="false" ht="15" hidden="false" customHeight="true" outlineLevel="0" collapsed="false">
      <c r="A42" s="6" t="s">
        <v>68</v>
      </c>
      <c r="B42" s="10" t="n">
        <v>120000</v>
      </c>
      <c r="C42" s="10" t="n">
        <v>180000</v>
      </c>
      <c r="D42" s="10" t="n">
        <v>240000</v>
      </c>
      <c r="E42" s="8" t="s">
        <v>69</v>
      </c>
    </row>
    <row r="43" customFormat="false" ht="15" hidden="false" customHeight="true" outlineLevel="0" collapsed="false">
      <c r="A43" s="6" t="s">
        <v>70</v>
      </c>
      <c r="B43" s="10" t="n">
        <v>100000</v>
      </c>
      <c r="C43" s="10" t="n">
        <v>150000</v>
      </c>
      <c r="D43" s="10" t="n">
        <v>300000</v>
      </c>
      <c r="E43" s="8" t="s">
        <v>71</v>
      </c>
    </row>
    <row r="45" customFormat="false" ht="18" hidden="false" customHeight="true" outlineLevel="0" collapsed="false">
      <c r="A45" s="5" t="s">
        <v>72</v>
      </c>
      <c r="B45" s="5"/>
      <c r="C45" s="5"/>
      <c r="D45" s="5"/>
      <c r="E45" s="5"/>
    </row>
    <row r="46" customFormat="false" ht="15" hidden="false" customHeight="true" outlineLevel="0" collapsed="false">
      <c r="A46" s="6" t="s">
        <v>73</v>
      </c>
      <c r="B46" s="7" t="n">
        <v>0.25</v>
      </c>
      <c r="C46" s="7" t="n">
        <v>0.25</v>
      </c>
      <c r="D46" s="7" t="n">
        <v>0.26</v>
      </c>
      <c r="E46" s="8" t="s">
        <v>74</v>
      </c>
    </row>
  </sheetData>
  <mergeCells count="8">
    <mergeCell ref="A1:E1"/>
    <mergeCell ref="A2:E2"/>
    <mergeCell ref="A5:E5"/>
    <mergeCell ref="A12:E12"/>
    <mergeCell ref="A19:E19"/>
    <mergeCell ref="A27:E27"/>
    <mergeCell ref="A37:E37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75</v>
      </c>
      <c r="B1" s="2"/>
      <c r="C1" s="2"/>
      <c r="D1" s="2"/>
      <c r="E1" s="2"/>
    </row>
    <row r="2" customFormat="false" ht="15" hidden="false" customHeight="true" outlineLevel="0" collapsed="false">
      <c r="A2" s="3" t="s">
        <v>76</v>
      </c>
      <c r="B2" s="3"/>
      <c r="C2" s="3"/>
      <c r="D2" s="3"/>
      <c r="E2" s="3"/>
    </row>
    <row r="4" customFormat="false" ht="15" hidden="false" customHeight="true" outlineLevel="0" collapsed="false">
      <c r="A4" s="4" t="s">
        <v>77</v>
      </c>
      <c r="B4" s="4" t="s">
        <v>78</v>
      </c>
      <c r="C4" s="4" t="s">
        <v>79</v>
      </c>
      <c r="D4" s="4" t="s">
        <v>80</v>
      </c>
      <c r="E4" s="4" t="s">
        <v>81</v>
      </c>
    </row>
    <row r="5" customFormat="false" ht="18" hidden="false" customHeight="true" outlineLevel="0" collapsed="false">
      <c r="A5" s="5" t="s">
        <v>82</v>
      </c>
      <c r="B5" s="5"/>
      <c r="C5" s="5"/>
      <c r="D5" s="5"/>
      <c r="E5" s="5"/>
    </row>
    <row r="6" customFormat="false" ht="15" hidden="false" customHeight="true" outlineLevel="0" collapsed="false">
      <c r="A6" s="11" t="s">
        <v>83</v>
      </c>
      <c r="B6" s="12" t="n">
        <v>2800000</v>
      </c>
      <c r="C6" s="12" t="n">
        <v>6400000</v>
      </c>
      <c r="D6" s="12" t="n">
        <v>14000000</v>
      </c>
      <c r="E6" s="8" t="s">
        <v>84</v>
      </c>
    </row>
    <row r="7" customFormat="false" ht="15" hidden="false" customHeight="true" outlineLevel="0" collapsed="false">
      <c r="A7" s="11" t="s">
        <v>85</v>
      </c>
      <c r="B7" s="13" t="n">
        <v>-840000</v>
      </c>
      <c r="C7" s="13" t="n">
        <v>-1408000</v>
      </c>
      <c r="D7" s="13" t="n">
        <v>-2100000</v>
      </c>
      <c r="E7" s="8" t="s">
        <v>86</v>
      </c>
    </row>
    <row r="8" customFormat="false" ht="15" hidden="false" customHeight="true" outlineLevel="0" collapsed="false">
      <c r="A8" s="14" t="s">
        <v>87</v>
      </c>
      <c r="B8" s="15" t="n">
        <v>1960000</v>
      </c>
      <c r="C8" s="15" t="n">
        <v>4992000</v>
      </c>
      <c r="D8" s="15" t="n">
        <v>11900000</v>
      </c>
      <c r="E8" s="8" t="s">
        <v>88</v>
      </c>
    </row>
    <row r="9" customFormat="false" ht="15" hidden="false" customHeight="true" outlineLevel="0" collapsed="false">
      <c r="A9" s="11" t="s">
        <v>89</v>
      </c>
      <c r="B9" s="12" t="n">
        <v>1800000</v>
      </c>
      <c r="C9" s="12" t="n">
        <v>6480000</v>
      </c>
      <c r="D9" s="12" t="n">
        <v>14400000</v>
      </c>
      <c r="E9" s="8" t="s">
        <v>90</v>
      </c>
    </row>
    <row r="10" customFormat="false" ht="15" hidden="false" customHeight="true" outlineLevel="0" collapsed="false">
      <c r="A10" s="11" t="s">
        <v>91</v>
      </c>
      <c r="B10" s="13" t="n">
        <v>-111000</v>
      </c>
      <c r="C10" s="13" t="n">
        <v>-286800</v>
      </c>
      <c r="D10" s="13" t="n">
        <v>-524000</v>
      </c>
      <c r="E10" s="8" t="s">
        <v>92</v>
      </c>
    </row>
    <row r="11" customFormat="false" ht="15" hidden="false" customHeight="true" outlineLevel="0" collapsed="false">
      <c r="A11" s="14" t="s">
        <v>93</v>
      </c>
      <c r="B11" s="15" t="n">
        <v>3649000</v>
      </c>
      <c r="C11" s="15" t="n">
        <v>11185200</v>
      </c>
      <c r="D11" s="15" t="n">
        <v>25776000</v>
      </c>
      <c r="E11" s="8"/>
    </row>
    <row r="13" customFormat="false" ht="18" hidden="false" customHeight="true" outlineLevel="0" collapsed="false">
      <c r="A13" s="5" t="s">
        <v>94</v>
      </c>
      <c r="B13" s="5"/>
      <c r="C13" s="5"/>
      <c r="D13" s="5"/>
      <c r="E13" s="5"/>
    </row>
    <row r="14" customFormat="false" ht="15" hidden="false" customHeight="true" outlineLevel="0" collapsed="false">
      <c r="A14" s="11" t="s">
        <v>95</v>
      </c>
      <c r="B14" s="12" t="n">
        <v>1600000</v>
      </c>
      <c r="C14" s="12" t="n">
        <v>5000000</v>
      </c>
      <c r="D14" s="12" t="n">
        <v>14000000</v>
      </c>
      <c r="E14" s="8" t="s">
        <v>96</v>
      </c>
    </row>
    <row r="15" customFormat="false" ht="15" hidden="false" customHeight="true" outlineLevel="0" collapsed="false">
      <c r="A15" s="11" t="s">
        <v>97</v>
      </c>
      <c r="B15" s="13" t="n">
        <v>-560000</v>
      </c>
      <c r="C15" s="13" t="n">
        <v>-1250000</v>
      </c>
      <c r="D15" s="13" t="n">
        <v>-2520000</v>
      </c>
      <c r="E15" s="8" t="s">
        <v>98</v>
      </c>
    </row>
    <row r="16" customFormat="false" ht="15" hidden="false" customHeight="true" outlineLevel="0" collapsed="false">
      <c r="A16" s="14" t="s">
        <v>87</v>
      </c>
      <c r="B16" s="15" t="n">
        <v>1040000</v>
      </c>
      <c r="C16" s="15" t="n">
        <v>3750000</v>
      </c>
      <c r="D16" s="15" t="n">
        <v>11480000</v>
      </c>
      <c r="E16" s="8" t="s">
        <v>99</v>
      </c>
    </row>
    <row r="17" customFormat="false" ht="15" hidden="false" customHeight="true" outlineLevel="0" collapsed="false">
      <c r="A17" s="11" t="s">
        <v>100</v>
      </c>
      <c r="B17" s="12" t="n">
        <v>960000</v>
      </c>
      <c r="C17" s="12" t="n">
        <v>4320000</v>
      </c>
      <c r="D17" s="12" t="n">
        <v>12000000</v>
      </c>
      <c r="E17" s="8" t="s">
        <v>101</v>
      </c>
    </row>
    <row r="18" customFormat="false" ht="15" hidden="false" customHeight="true" outlineLevel="0" collapsed="false">
      <c r="A18" s="11" t="s">
        <v>91</v>
      </c>
      <c r="B18" s="13" t="n">
        <v>-60000</v>
      </c>
      <c r="C18" s="13" t="n">
        <v>-201750</v>
      </c>
      <c r="D18" s="13" t="n">
        <v>-470600</v>
      </c>
      <c r="E18" s="8" t="s">
        <v>102</v>
      </c>
    </row>
    <row r="19" customFormat="false" ht="15" hidden="false" customHeight="true" outlineLevel="0" collapsed="false">
      <c r="A19" s="14" t="s">
        <v>103</v>
      </c>
      <c r="B19" s="15" t="n">
        <v>1940000</v>
      </c>
      <c r="C19" s="15" t="n">
        <v>7868250</v>
      </c>
      <c r="D19" s="15" t="n">
        <v>23009400</v>
      </c>
      <c r="E19" s="8"/>
    </row>
    <row r="21" customFormat="false" ht="18" hidden="false" customHeight="true" outlineLevel="0" collapsed="false">
      <c r="A21" s="5" t="s">
        <v>104</v>
      </c>
      <c r="B21" s="5"/>
      <c r="C21" s="5"/>
      <c r="D21" s="5"/>
      <c r="E21" s="5"/>
    </row>
    <row r="22" customFormat="false" ht="15" hidden="false" customHeight="true" outlineLevel="0" collapsed="false">
      <c r="A22" s="11" t="s">
        <v>105</v>
      </c>
      <c r="B22" s="12" t="n">
        <v>125000</v>
      </c>
      <c r="C22" s="12" t="n">
        <v>400000</v>
      </c>
      <c r="D22" s="12" t="n">
        <v>1200000</v>
      </c>
      <c r="E22" s="8" t="s">
        <v>106</v>
      </c>
    </row>
    <row r="23" customFormat="false" ht="15" hidden="false" customHeight="true" outlineLevel="0" collapsed="false">
      <c r="A23" s="11" t="s">
        <v>107</v>
      </c>
      <c r="B23" s="12" t="n">
        <v>600000</v>
      </c>
      <c r="C23" s="12" t="n">
        <v>1600000</v>
      </c>
      <c r="D23" s="12" t="n">
        <v>4000000</v>
      </c>
      <c r="E23" s="8" t="s">
        <v>108</v>
      </c>
    </row>
    <row r="24" customFormat="false" ht="15" hidden="false" customHeight="true" outlineLevel="0" collapsed="false">
      <c r="A24" s="11" t="s">
        <v>109</v>
      </c>
      <c r="B24" s="13" t="n">
        <v>-90000</v>
      </c>
      <c r="C24" s="13" t="n">
        <v>-208000</v>
      </c>
      <c r="D24" s="13" t="n">
        <v>-400000</v>
      </c>
      <c r="E24" s="8" t="s">
        <v>110</v>
      </c>
    </row>
    <row r="25" customFormat="false" ht="15" hidden="false" customHeight="true" outlineLevel="0" collapsed="false">
      <c r="A25" s="14" t="s">
        <v>111</v>
      </c>
      <c r="B25" s="15" t="n">
        <v>510000</v>
      </c>
      <c r="C25" s="15" t="n">
        <v>1392000</v>
      </c>
      <c r="D25" s="15" t="n">
        <v>3600000</v>
      </c>
      <c r="E25" s="8" t="s">
        <v>112</v>
      </c>
    </row>
    <row r="26" customFormat="false" ht="15" hidden="false" customHeight="true" outlineLevel="0" collapsed="false">
      <c r="A26" s="11" t="s">
        <v>113</v>
      </c>
      <c r="B26" s="12" t="n">
        <v>0</v>
      </c>
      <c r="C26" s="12" t="n">
        <v>400000</v>
      </c>
      <c r="D26" s="12" t="n">
        <v>1500000</v>
      </c>
      <c r="E26" s="8" t="s">
        <v>114</v>
      </c>
    </row>
    <row r="27" customFormat="false" ht="15" hidden="false" customHeight="true" outlineLevel="0" collapsed="false">
      <c r="A27" s="11" t="s">
        <v>115</v>
      </c>
      <c r="B27" s="12" t="n">
        <v>0</v>
      </c>
      <c r="C27" s="13" t="n">
        <v>-68000</v>
      </c>
      <c r="D27" s="13" t="n">
        <v>-195000</v>
      </c>
      <c r="E27" s="8" t="s">
        <v>116</v>
      </c>
    </row>
    <row r="28" customFormat="false" ht="15" hidden="false" customHeight="true" outlineLevel="0" collapsed="false">
      <c r="A28" s="14" t="s">
        <v>117</v>
      </c>
      <c r="B28" s="15" t="n">
        <v>0</v>
      </c>
      <c r="C28" s="15" t="n">
        <v>332000</v>
      </c>
      <c r="D28" s="15" t="n">
        <v>1305000</v>
      </c>
      <c r="E28" s="8" t="s">
        <v>118</v>
      </c>
    </row>
    <row r="29" customFormat="false" ht="15" hidden="false" customHeight="true" outlineLevel="0" collapsed="false">
      <c r="A29" s="14" t="s">
        <v>119</v>
      </c>
      <c r="B29" s="15" t="n">
        <v>635000</v>
      </c>
      <c r="C29" s="15" t="n">
        <v>2124000</v>
      </c>
      <c r="D29" s="15" t="n">
        <v>6105000</v>
      </c>
      <c r="E29" s="8"/>
    </row>
    <row r="31" customFormat="false" ht="18" hidden="false" customHeight="true" outlineLevel="0" collapsed="false">
      <c r="A31" s="5" t="s">
        <v>120</v>
      </c>
      <c r="B31" s="5"/>
      <c r="C31" s="5"/>
      <c r="D31" s="5"/>
      <c r="E31" s="5"/>
    </row>
    <row r="32" customFormat="false" ht="15" hidden="false" customHeight="true" outlineLevel="0" collapsed="false">
      <c r="A32" s="11" t="s">
        <v>121</v>
      </c>
      <c r="B32" s="12" t="n">
        <v>0</v>
      </c>
      <c r="C32" s="12" t="n">
        <v>1601000</v>
      </c>
      <c r="D32" s="12" t="n">
        <v>4568000</v>
      </c>
      <c r="E32" s="8" t="s">
        <v>122</v>
      </c>
    </row>
    <row r="33" customFormat="false" ht="15" hidden="false" customHeight="true" outlineLevel="0" collapsed="false">
      <c r="A33" s="11" t="s">
        <v>123</v>
      </c>
      <c r="B33" s="12" t="n">
        <v>1601000</v>
      </c>
      <c r="C33" s="12" t="n">
        <v>2967000</v>
      </c>
      <c r="D33" s="12" t="n">
        <v>5215000</v>
      </c>
      <c r="E33" s="8" t="s">
        <v>124</v>
      </c>
    </row>
    <row r="34" customFormat="false" ht="15" hidden="false" customHeight="true" outlineLevel="0" collapsed="false">
      <c r="A34" s="11" t="s">
        <v>125</v>
      </c>
      <c r="B34" s="12" t="n">
        <v>0</v>
      </c>
      <c r="C34" s="13" t="n">
        <v>-1601000</v>
      </c>
      <c r="D34" s="13" t="n">
        <v>-2967000</v>
      </c>
      <c r="E34" s="8" t="s">
        <v>126</v>
      </c>
    </row>
    <row r="35" customFormat="false" ht="15" hidden="false" customHeight="true" outlineLevel="0" collapsed="false">
      <c r="A35" s="14" t="s">
        <v>127</v>
      </c>
      <c r="B35" s="15" t="n">
        <v>1601000</v>
      </c>
      <c r="C35" s="15" t="n">
        <v>2967000</v>
      </c>
      <c r="D35" s="15" t="n">
        <v>5215000</v>
      </c>
      <c r="E35" s="8" t="s">
        <v>128</v>
      </c>
    </row>
    <row r="37" customFormat="false" ht="15" hidden="false" customHeight="true" outlineLevel="0" collapsed="false">
      <c r="A37" s="16" t="s">
        <v>129</v>
      </c>
      <c r="B37" s="17" t="n">
        <f aca="false">B7+B15+B25</f>
        <v>-890000</v>
      </c>
      <c r="C37" s="17" t="n">
        <f aca="false">C7+C15+C25</f>
        <v>-1266000</v>
      </c>
      <c r="D37" s="17" t="n">
        <f aca="false">D7+D15+D25</f>
        <v>-1020000</v>
      </c>
      <c r="E37" s="18"/>
    </row>
    <row r="38" customFormat="false" ht="15" hidden="false" customHeight="true" outlineLevel="0" collapsed="false">
      <c r="A38" s="19" t="s">
        <v>130</v>
      </c>
      <c r="B38" s="20"/>
      <c r="C38" s="20" t="n">
        <f aca="false">(C37-B37)/B37</f>
        <v>0.42247191011236</v>
      </c>
      <c r="D38" s="20" t="n">
        <f aca="false">(D37-C37)/C37</f>
        <v>-0.194312796208531</v>
      </c>
      <c r="E38" s="18"/>
    </row>
  </sheetData>
  <mergeCells count="6">
    <mergeCell ref="A1:E1"/>
    <mergeCell ref="A2:E2"/>
    <mergeCell ref="A5:E5"/>
    <mergeCell ref="A13:E13"/>
    <mergeCell ref="A21:E21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131</v>
      </c>
      <c r="B1" s="2"/>
      <c r="C1" s="2"/>
      <c r="D1" s="2"/>
      <c r="E1" s="2"/>
    </row>
    <row r="2" customFormat="false" ht="15" hidden="false" customHeight="true" outlineLevel="0" collapsed="false">
      <c r="A2" s="3" t="s">
        <v>132</v>
      </c>
      <c r="B2" s="3"/>
      <c r="C2" s="3"/>
      <c r="D2" s="3"/>
      <c r="E2" s="3"/>
    </row>
    <row r="4" customFormat="false" ht="15" hidden="false" customHeight="true" outlineLevel="0" collapsed="false">
      <c r="A4" s="4"/>
      <c r="B4" s="4" t="s">
        <v>78</v>
      </c>
      <c r="C4" s="4" t="s">
        <v>79</v>
      </c>
      <c r="D4" s="4" t="s">
        <v>80</v>
      </c>
      <c r="E4" s="4"/>
    </row>
    <row r="5" customFormat="false" ht="18" hidden="false" customHeight="true" outlineLevel="0" collapsed="false">
      <c r="A5" s="5" t="s">
        <v>133</v>
      </c>
      <c r="B5" s="5"/>
      <c r="C5" s="5"/>
      <c r="D5" s="5"/>
      <c r="E5" s="5"/>
    </row>
    <row r="6" customFormat="false" ht="15" hidden="false" customHeight="true" outlineLevel="0" collapsed="false">
      <c r="A6" s="11" t="s">
        <v>134</v>
      </c>
      <c r="B6" s="12" t="n">
        <v>3649000</v>
      </c>
      <c r="C6" s="12" t="n">
        <v>11185200</v>
      </c>
      <c r="D6" s="12" t="n">
        <v>25776000</v>
      </c>
      <c r="E6" s="8" t="s">
        <v>135</v>
      </c>
    </row>
    <row r="7" customFormat="false" ht="15" hidden="false" customHeight="true" outlineLevel="0" collapsed="false">
      <c r="A7" s="11" t="s">
        <v>136</v>
      </c>
      <c r="B7" s="12" t="n">
        <v>1940000</v>
      </c>
      <c r="C7" s="12" t="n">
        <v>7868250</v>
      </c>
      <c r="D7" s="12" t="n">
        <v>23009400</v>
      </c>
      <c r="E7" s="8" t="s">
        <v>135</v>
      </c>
    </row>
    <row r="8" customFormat="false" ht="15" hidden="false" customHeight="true" outlineLevel="0" collapsed="false">
      <c r="A8" s="11" t="s">
        <v>137</v>
      </c>
      <c r="B8" s="12" t="n">
        <v>635000</v>
      </c>
      <c r="C8" s="12" t="n">
        <v>2124000</v>
      </c>
      <c r="D8" s="12" t="n">
        <v>6105000</v>
      </c>
      <c r="E8" s="8" t="s">
        <v>135</v>
      </c>
    </row>
    <row r="9" customFormat="false" ht="15" hidden="false" customHeight="true" outlineLevel="0" collapsed="false">
      <c r="A9" s="16" t="s">
        <v>138</v>
      </c>
      <c r="B9" s="17" t="n">
        <f aca="false">B6+B7+B8</f>
        <v>6224000</v>
      </c>
      <c r="C9" s="17" t="n">
        <f aca="false">C6+C7+C8</f>
        <v>21177450</v>
      </c>
      <c r="D9" s="17" t="n">
        <f aca="false">D6+D7+D8</f>
        <v>54890400</v>
      </c>
    </row>
    <row r="11" customFormat="false" ht="18" hidden="false" customHeight="true" outlineLevel="0" collapsed="false">
      <c r="A11" s="5" t="s">
        <v>139</v>
      </c>
      <c r="B11" s="5"/>
      <c r="C11" s="5"/>
      <c r="D11" s="5"/>
      <c r="E11" s="5"/>
    </row>
    <row r="12" customFormat="false" ht="15" hidden="false" customHeight="true" outlineLevel="0" collapsed="false">
      <c r="A12" s="11" t="s">
        <v>140</v>
      </c>
      <c r="B12" s="12" t="n">
        <v>1144000</v>
      </c>
      <c r="C12" s="12" t="n">
        <v>3143040</v>
      </c>
      <c r="D12" s="12" t="n">
        <v>7045000</v>
      </c>
      <c r="E12" s="8" t="s">
        <v>141</v>
      </c>
    </row>
    <row r="13" customFormat="false" ht="15" hidden="false" customHeight="true" outlineLevel="0" collapsed="false">
      <c r="A13" s="11" t="s">
        <v>142</v>
      </c>
      <c r="B13" s="12" t="n">
        <v>760000</v>
      </c>
      <c r="C13" s="12" t="n">
        <v>2637900</v>
      </c>
      <c r="D13" s="12" t="n">
        <v>7221600</v>
      </c>
      <c r="E13" s="8" t="s">
        <v>143</v>
      </c>
    </row>
    <row r="14" customFormat="false" ht="15" hidden="false" customHeight="true" outlineLevel="0" collapsed="false">
      <c r="A14" s="11" t="s">
        <v>144</v>
      </c>
      <c r="B14" s="12" t="n">
        <v>248250</v>
      </c>
      <c r="C14" s="12" t="n">
        <v>777440</v>
      </c>
      <c r="D14" s="12" t="n">
        <v>2043900</v>
      </c>
      <c r="E14" s="8" t="s">
        <v>145</v>
      </c>
    </row>
    <row r="15" customFormat="false" ht="15" hidden="false" customHeight="true" outlineLevel="0" collapsed="false">
      <c r="A15" s="16" t="s">
        <v>146</v>
      </c>
      <c r="B15" s="17" t="n">
        <f aca="false">B12+B13+B14</f>
        <v>2152250</v>
      </c>
      <c r="C15" s="17" t="n">
        <f aca="false">C12+C13+C14</f>
        <v>6558380</v>
      </c>
      <c r="D15" s="17" t="n">
        <f aca="false">D12+D13+D14</f>
        <v>16310500</v>
      </c>
    </row>
    <row r="17" customFormat="false" ht="15" hidden="false" customHeight="true" outlineLevel="0" collapsed="false">
      <c r="A17" s="14" t="s">
        <v>147</v>
      </c>
      <c r="B17" s="15" t="n">
        <f aca="false">B9-B15</f>
        <v>4071750</v>
      </c>
      <c r="C17" s="15" t="n">
        <f aca="false">C9-C15</f>
        <v>14619070</v>
      </c>
      <c r="D17" s="15" t="n">
        <f aca="false">D9-D15</f>
        <v>38579900</v>
      </c>
    </row>
    <row r="18" customFormat="false" ht="15" hidden="false" customHeight="true" outlineLevel="0" collapsed="false">
      <c r="A18" s="19" t="s">
        <v>148</v>
      </c>
      <c r="B18" s="21" t="n">
        <f aca="false">B17/B9</f>
        <v>0.6542014781491</v>
      </c>
      <c r="C18" s="21" t="n">
        <f aca="false">C17/C9</f>
        <v>0.69031304524388</v>
      </c>
      <c r="D18" s="21" t="n">
        <f aca="false">D17/D9</f>
        <v>0.702853322256715</v>
      </c>
    </row>
    <row r="20" customFormat="false" ht="18" hidden="false" customHeight="true" outlineLevel="0" collapsed="false">
      <c r="A20" s="5" t="s">
        <v>149</v>
      </c>
      <c r="B20" s="5"/>
      <c r="C20" s="5"/>
      <c r="D20" s="5"/>
      <c r="E20" s="5"/>
    </row>
    <row r="21" customFormat="false" ht="15" hidden="false" customHeight="true" outlineLevel="0" collapsed="false">
      <c r="A21" s="11" t="s">
        <v>150</v>
      </c>
      <c r="B21" s="12" t="n">
        <v>1000000</v>
      </c>
      <c r="C21" s="12" t="n">
        <v>1500000</v>
      </c>
      <c r="D21" s="12" t="n">
        <v>2400000</v>
      </c>
    </row>
    <row r="22" customFormat="false" ht="15" hidden="false" customHeight="true" outlineLevel="0" collapsed="false">
      <c r="A22" s="11" t="s">
        <v>151</v>
      </c>
      <c r="B22" s="12" t="n">
        <v>0</v>
      </c>
      <c r="C22" s="12" t="n">
        <v>1200000</v>
      </c>
      <c r="D22" s="12" t="n">
        <v>3600000</v>
      </c>
    </row>
    <row r="23" customFormat="false" ht="15" hidden="false" customHeight="true" outlineLevel="0" collapsed="false">
      <c r="A23" s="11" t="s">
        <v>152</v>
      </c>
      <c r="B23" s="12" t="n">
        <v>240000</v>
      </c>
      <c r="C23" s="12" t="n">
        <v>360000</v>
      </c>
      <c r="D23" s="12" t="n">
        <v>600000</v>
      </c>
    </row>
    <row r="24" customFormat="false" ht="15" hidden="false" customHeight="true" outlineLevel="0" collapsed="false">
      <c r="A24" s="11" t="s">
        <v>153</v>
      </c>
      <c r="B24" s="12" t="n">
        <v>150000</v>
      </c>
      <c r="C24" s="12" t="n">
        <v>400000</v>
      </c>
      <c r="D24" s="12" t="n">
        <v>800000</v>
      </c>
    </row>
    <row r="25" customFormat="false" ht="15" hidden="false" customHeight="true" outlineLevel="0" collapsed="false">
      <c r="A25" s="11" t="s">
        <v>154</v>
      </c>
      <c r="B25" s="12" t="n">
        <v>120000</v>
      </c>
      <c r="C25" s="12" t="n">
        <v>180000</v>
      </c>
      <c r="D25" s="12" t="n">
        <v>240000</v>
      </c>
    </row>
    <row r="26" customFormat="false" ht="15" hidden="false" customHeight="true" outlineLevel="0" collapsed="false">
      <c r="A26" s="11" t="s">
        <v>155</v>
      </c>
      <c r="B26" s="12" t="n">
        <v>100000</v>
      </c>
      <c r="C26" s="12" t="n">
        <v>150000</v>
      </c>
      <c r="D26" s="12" t="n">
        <v>300000</v>
      </c>
    </row>
    <row r="27" customFormat="false" ht="15" hidden="false" customHeight="true" outlineLevel="0" collapsed="false">
      <c r="A27" s="16" t="s">
        <v>156</v>
      </c>
      <c r="B27" s="17" t="n">
        <f aca="false">SUM(B21:B26)</f>
        <v>1610000</v>
      </c>
      <c r="C27" s="17" t="n">
        <f aca="false">SUM(C21:C26)</f>
        <v>3790000</v>
      </c>
      <c r="D27" s="17" t="n">
        <f aca="false">SUM(D21:D26)</f>
        <v>7940000</v>
      </c>
    </row>
    <row r="29" customFormat="false" ht="15" hidden="false" customHeight="true" outlineLevel="0" collapsed="false">
      <c r="A29" s="14" t="s">
        <v>157</v>
      </c>
      <c r="B29" s="15" t="n">
        <f aca="false">B17-B27</f>
        <v>2461750</v>
      </c>
      <c r="C29" s="15" t="n">
        <f aca="false">C17-C27</f>
        <v>10829070</v>
      </c>
      <c r="D29" s="15" t="n">
        <f aca="false">D17-D27</f>
        <v>30639900</v>
      </c>
    </row>
    <row r="30" customFormat="false" ht="15" hidden="false" customHeight="true" outlineLevel="0" collapsed="false">
      <c r="A30" s="19" t="s">
        <v>158</v>
      </c>
      <c r="B30" s="21" t="n">
        <f aca="false">B29/B9</f>
        <v>0.395525385604113</v>
      </c>
      <c r="C30" s="21" t="n">
        <f aca="false">C29/C9</f>
        <v>0.51134910010412</v>
      </c>
      <c r="D30" s="21" t="n">
        <f aca="false">D29/D9</f>
        <v>0.558201434130558</v>
      </c>
    </row>
    <row r="32" customFormat="false" ht="15" hidden="false" customHeight="true" outlineLevel="0" collapsed="false">
      <c r="A32" s="11" t="s">
        <v>159</v>
      </c>
      <c r="B32" s="12" t="n">
        <v>0</v>
      </c>
      <c r="C32" s="12" t="n">
        <v>0</v>
      </c>
      <c r="D32" s="12" t="n">
        <v>50000</v>
      </c>
      <c r="E32" s="8" t="s">
        <v>160</v>
      </c>
    </row>
    <row r="33" customFormat="false" ht="15" hidden="false" customHeight="true" outlineLevel="0" collapsed="false">
      <c r="A33" s="14" t="s">
        <v>161</v>
      </c>
      <c r="B33" s="15" t="n">
        <f aca="false">B29-B32</f>
        <v>2461750</v>
      </c>
      <c r="C33" s="15" t="n">
        <f aca="false">C29-C32</f>
        <v>10829070</v>
      </c>
      <c r="D33" s="15" t="n">
        <f aca="false">D29-D32</f>
        <v>30589900</v>
      </c>
    </row>
    <row r="35" customFormat="false" ht="15" hidden="false" customHeight="true" outlineLevel="0" collapsed="false">
      <c r="A35" s="11" t="s">
        <v>162</v>
      </c>
      <c r="B35" s="12" t="n">
        <v>50000</v>
      </c>
      <c r="C35" s="12" t="n">
        <v>120000</v>
      </c>
      <c r="D35" s="12" t="n">
        <v>300000</v>
      </c>
      <c r="E35" s="8" t="s">
        <v>163</v>
      </c>
    </row>
    <row r="36" customFormat="false" ht="15" hidden="false" customHeight="true" outlineLevel="0" collapsed="false">
      <c r="A36" s="14" t="s">
        <v>164</v>
      </c>
      <c r="B36" s="15" t="n">
        <f aca="false">B33+B35</f>
        <v>2511750</v>
      </c>
      <c r="C36" s="15" t="n">
        <f aca="false">C33+C35</f>
        <v>10949070</v>
      </c>
      <c r="D36" s="15" t="n">
        <f aca="false">D33+D35</f>
        <v>30889900</v>
      </c>
    </row>
    <row r="38" customFormat="false" ht="15" hidden="false" customHeight="true" outlineLevel="0" collapsed="false">
      <c r="A38" s="11" t="s">
        <v>165</v>
      </c>
      <c r="B38" s="22" t="n">
        <f aca="false">IF(B36&gt;0,B36*0.25,0)</f>
        <v>627937.5</v>
      </c>
      <c r="C38" s="22" t="n">
        <f aca="false">IF(C36&gt;0,C36*0.25,0)</f>
        <v>2737267.5</v>
      </c>
      <c r="D38" s="22" t="n">
        <f aca="false">IF(D36&gt;0,D36*0.26,0)</f>
        <v>8031374</v>
      </c>
    </row>
    <row r="39" customFormat="false" ht="15" hidden="false" customHeight="true" outlineLevel="0" collapsed="false">
      <c r="A39" s="16" t="s">
        <v>166</v>
      </c>
      <c r="B39" s="17" t="n">
        <f aca="false">B36-B38</f>
        <v>1883812.5</v>
      </c>
      <c r="C39" s="17" t="n">
        <f aca="false">C36-C38</f>
        <v>8211802.5</v>
      </c>
      <c r="D39" s="17" t="n">
        <f aca="false">D36-D38</f>
        <v>22858526</v>
      </c>
    </row>
    <row r="40" customFormat="false" ht="15" hidden="false" customHeight="true" outlineLevel="0" collapsed="false">
      <c r="A40" s="19" t="s">
        <v>167</v>
      </c>
      <c r="B40" s="21" t="n">
        <f aca="false">IF(B9&gt;0,B39/B9,0)</f>
        <v>0.302669103470437</v>
      </c>
      <c r="C40" s="21" t="n">
        <f aca="false">IF(C9&gt;0,C39/C9,0)</f>
        <v>0.387761628524681</v>
      </c>
      <c r="D40" s="21" t="n">
        <f aca="false">IF(D9&gt;0,D39/D9,0)</f>
        <v>0.416439413813709</v>
      </c>
    </row>
    <row r="42" customFormat="false" ht="18" hidden="false" customHeight="true" outlineLevel="0" collapsed="false">
      <c r="A42" s="5" t="s">
        <v>168</v>
      </c>
      <c r="B42" s="5"/>
      <c r="C42" s="5"/>
      <c r="D42" s="5"/>
      <c r="E42" s="5"/>
    </row>
    <row r="43" customFormat="false" ht="15" hidden="false" customHeight="true" outlineLevel="0" collapsed="false">
      <c r="A43" s="11" t="s">
        <v>169</v>
      </c>
      <c r="B43" s="12" t="n">
        <v>0</v>
      </c>
      <c r="C43" s="22" t="n">
        <f aca="false">B39</f>
        <v>1883812.5</v>
      </c>
      <c r="D43" s="22" t="n">
        <f aca="false">B42+C39</f>
        <v>8211802.5</v>
      </c>
    </row>
    <row r="44" customFormat="false" ht="15" hidden="false" customHeight="true" outlineLevel="0" collapsed="false">
      <c r="A44" s="11" t="s">
        <v>170</v>
      </c>
      <c r="B44" s="23" t="n">
        <f aca="false">B39</f>
        <v>1883812.5</v>
      </c>
      <c r="C44" s="23" t="n">
        <f aca="false">C39</f>
        <v>8211802.5</v>
      </c>
      <c r="D44" s="23" t="n">
        <f aca="false">D39</f>
        <v>22858526</v>
      </c>
    </row>
    <row r="45" customFormat="false" ht="15" hidden="false" customHeight="true" outlineLevel="0" collapsed="false">
      <c r="A45" s="14" t="s">
        <v>171</v>
      </c>
      <c r="B45" s="15" t="n">
        <f aca="false">B42+B43</f>
        <v>0</v>
      </c>
      <c r="C45" s="15" t="n">
        <f aca="false">C42+C43</f>
        <v>1883812.5</v>
      </c>
      <c r="D45" s="15" t="n">
        <f aca="false">D42+D43</f>
        <v>8211802.5</v>
      </c>
    </row>
  </sheetData>
  <mergeCells count="6">
    <mergeCell ref="A1:E1"/>
    <mergeCell ref="A2:E2"/>
    <mergeCell ref="A5:E5"/>
    <mergeCell ref="A11:E11"/>
    <mergeCell ref="A20:E20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172</v>
      </c>
      <c r="B1" s="2"/>
      <c r="C1" s="2"/>
      <c r="D1" s="2"/>
      <c r="E1" s="2"/>
    </row>
    <row r="2" customFormat="false" ht="15" hidden="false" customHeight="true" outlineLevel="0" collapsed="false">
      <c r="A2" s="3" t="s">
        <v>173</v>
      </c>
      <c r="B2" s="3"/>
      <c r="C2" s="3"/>
      <c r="D2" s="3"/>
      <c r="E2" s="3"/>
    </row>
    <row r="4" customFormat="false" ht="15" hidden="false" customHeight="true" outlineLevel="0" collapsed="false">
      <c r="A4" s="4"/>
      <c r="B4" s="4" t="s">
        <v>78</v>
      </c>
      <c r="C4" s="4" t="s">
        <v>79</v>
      </c>
      <c r="D4" s="4" t="s">
        <v>80</v>
      </c>
      <c r="E4" s="4"/>
    </row>
    <row r="5" customFormat="false" ht="18" hidden="false" customHeight="true" outlineLevel="0" collapsed="false">
      <c r="A5" s="5" t="s">
        <v>174</v>
      </c>
      <c r="B5" s="5"/>
      <c r="C5" s="5"/>
      <c r="D5" s="5"/>
      <c r="E5" s="5"/>
    </row>
    <row r="6" customFormat="false" ht="15" hidden="false" customHeight="true" outlineLevel="0" collapsed="false">
      <c r="A6" s="11" t="s">
        <v>175</v>
      </c>
      <c r="B6" s="12" t="n">
        <v>1883813</v>
      </c>
      <c r="C6" s="12" t="n">
        <v>8121803</v>
      </c>
      <c r="D6" s="12" t="n">
        <v>22858526</v>
      </c>
    </row>
    <row r="7" customFormat="false" ht="15" hidden="false" customHeight="true" outlineLevel="0" collapsed="false">
      <c r="A7" s="11" t="s">
        <v>176</v>
      </c>
      <c r="B7" s="12" t="n">
        <v>0</v>
      </c>
      <c r="C7" s="12" t="n">
        <v>0</v>
      </c>
      <c r="D7" s="12" t="n">
        <v>50000</v>
      </c>
    </row>
    <row r="8" customFormat="false" ht="15" hidden="false" customHeight="true" outlineLevel="0" collapsed="false">
      <c r="A8" s="11" t="s">
        <v>177</v>
      </c>
      <c r="B8" s="12" t="n">
        <v>1601000</v>
      </c>
      <c r="C8" s="12" t="n">
        <v>1366000</v>
      </c>
      <c r="D8" s="12" t="n">
        <v>2248000</v>
      </c>
      <c r="E8" s="8" t="s">
        <v>178</v>
      </c>
    </row>
    <row r="9" customFormat="false" ht="15" hidden="false" customHeight="true" outlineLevel="0" collapsed="false">
      <c r="A9" s="11" t="s">
        <v>179</v>
      </c>
      <c r="B9" s="13" t="n">
        <v>-500000</v>
      </c>
      <c r="C9" s="13" t="n">
        <v>-1200000</v>
      </c>
      <c r="D9" s="13" t="n">
        <v>-2500000</v>
      </c>
      <c r="E9" s="8" t="s">
        <v>180</v>
      </c>
    </row>
    <row r="10" customFormat="false" ht="15" hidden="false" customHeight="true" outlineLevel="0" collapsed="false">
      <c r="A10" s="11" t="s">
        <v>181</v>
      </c>
      <c r="B10" s="13" t="n">
        <v>-100000</v>
      </c>
      <c r="C10" s="13" t="n">
        <v>-200000</v>
      </c>
      <c r="D10" s="13" t="n">
        <v>-400000</v>
      </c>
    </row>
    <row r="11" customFormat="false" ht="15" hidden="false" customHeight="true" outlineLevel="0" collapsed="false">
      <c r="A11" s="14" t="s">
        <v>182</v>
      </c>
      <c r="B11" s="15" t="n">
        <f aca="false">B6+B7+B8+B9+B10</f>
        <v>2884813</v>
      </c>
      <c r="C11" s="15" t="n">
        <f aca="false">C6+C7+C8+C9+C10</f>
        <v>8087803</v>
      </c>
      <c r="D11" s="15" t="n">
        <f aca="false">D6+D7+D8+D9+D10</f>
        <v>22256526</v>
      </c>
    </row>
    <row r="13" customFormat="false" ht="18" hidden="false" customHeight="true" outlineLevel="0" collapsed="false">
      <c r="A13" s="5" t="s">
        <v>183</v>
      </c>
      <c r="B13" s="5"/>
      <c r="C13" s="5"/>
      <c r="D13" s="5"/>
      <c r="E13" s="5"/>
    </row>
    <row r="14" customFormat="false" ht="15" hidden="false" customHeight="true" outlineLevel="0" collapsed="false">
      <c r="A14" s="11" t="s">
        <v>184</v>
      </c>
      <c r="B14" s="13" t="n">
        <v>-200000</v>
      </c>
      <c r="C14" s="13" t="n">
        <v>-400000</v>
      </c>
      <c r="D14" s="13" t="n">
        <v>-600000</v>
      </c>
      <c r="E14" s="8" t="s">
        <v>185</v>
      </c>
    </row>
    <row r="15" customFormat="false" ht="15" hidden="false" customHeight="true" outlineLevel="0" collapsed="false">
      <c r="A15" s="11" t="s">
        <v>186</v>
      </c>
      <c r="B15" s="13" t="n">
        <v>-100000</v>
      </c>
      <c r="C15" s="13" t="n">
        <v>-150000</v>
      </c>
      <c r="D15" s="13" t="n">
        <v>-250000</v>
      </c>
    </row>
    <row r="16" customFormat="false" ht="15" hidden="false" customHeight="true" outlineLevel="0" collapsed="false">
      <c r="A16" s="14" t="s">
        <v>187</v>
      </c>
      <c r="B16" s="15" t="n">
        <f aca="false">B13+B14</f>
        <v>-200000</v>
      </c>
      <c r="C16" s="15" t="n">
        <f aca="false">C13+C14</f>
        <v>-400000</v>
      </c>
      <c r="D16" s="15" t="n">
        <f aca="false">D13+D14</f>
        <v>-600000</v>
      </c>
    </row>
    <row r="18" customFormat="false" ht="18" hidden="false" customHeight="true" outlineLevel="0" collapsed="false">
      <c r="A18" s="5" t="s">
        <v>188</v>
      </c>
      <c r="B18" s="5"/>
      <c r="C18" s="5"/>
      <c r="D18" s="5"/>
      <c r="E18" s="5"/>
    </row>
    <row r="19" customFormat="false" ht="15" hidden="false" customHeight="true" outlineLevel="0" collapsed="false">
      <c r="A19" s="11" t="s">
        <v>189</v>
      </c>
      <c r="B19" s="12" t="n">
        <v>0</v>
      </c>
      <c r="C19" s="12" t="n">
        <v>0</v>
      </c>
      <c r="D19" s="12" t="n">
        <v>0</v>
      </c>
      <c r="E19" s="8" t="s">
        <v>190</v>
      </c>
    </row>
    <row r="20" customFormat="false" ht="15" hidden="false" customHeight="true" outlineLevel="0" collapsed="false">
      <c r="A20" s="14" t="s">
        <v>191</v>
      </c>
      <c r="B20" s="15" t="n">
        <f aca="false">B18</f>
        <v>0</v>
      </c>
      <c r="C20" s="15" t="n">
        <f aca="false">C18</f>
        <v>0</v>
      </c>
      <c r="D20" s="15" t="n">
        <f aca="false">D18</f>
        <v>0</v>
      </c>
    </row>
    <row r="22" customFormat="false" ht="15" hidden="false" customHeight="true" outlineLevel="0" collapsed="false">
      <c r="A22" s="16" t="s">
        <v>192</v>
      </c>
      <c r="B22" s="17" t="n">
        <f aca="false">B11+B15+B19</f>
        <v>2784813</v>
      </c>
      <c r="C22" s="17" t="n">
        <f aca="false">C11+C15+C19</f>
        <v>7937803</v>
      </c>
      <c r="D22" s="17" t="n">
        <f aca="false">D11+D15+D19</f>
        <v>22006526</v>
      </c>
    </row>
    <row r="23" customFormat="false" ht="15" hidden="false" customHeight="true" outlineLevel="0" collapsed="false">
      <c r="A23" s="11" t="s">
        <v>193</v>
      </c>
      <c r="B23" s="12" t="n">
        <v>500000</v>
      </c>
      <c r="C23" s="22" t="n">
        <f aca="false">B21+B22</f>
        <v>2784813</v>
      </c>
      <c r="D23" s="22" t="n">
        <f aca="false">C21+C22</f>
        <v>7937803</v>
      </c>
    </row>
    <row r="24" customFormat="false" ht="15" hidden="false" customHeight="true" outlineLevel="0" collapsed="false">
      <c r="A24" s="14" t="s">
        <v>194</v>
      </c>
      <c r="B24" s="15" t="n">
        <f aca="false">B21+B22</f>
        <v>2784813</v>
      </c>
      <c r="C24" s="15" t="n">
        <f aca="false">C21+C22</f>
        <v>7937803</v>
      </c>
      <c r="D24" s="15" t="n">
        <f aca="false">D21+D22</f>
        <v>22006526</v>
      </c>
    </row>
    <row r="26" customFormat="false" ht="15" hidden="false" customHeight="true" outlineLevel="0" collapsed="false">
      <c r="A26" s="14" t="s">
        <v>195</v>
      </c>
      <c r="B26" s="24" t="n">
        <f aca="false">B23/(1610000/12)</f>
        <v>3.72670807453416</v>
      </c>
      <c r="C26" s="24" t="n">
        <f aca="false">C23/(3790000/12)</f>
        <v>8.81734986807388</v>
      </c>
      <c r="D26" s="24" t="n">
        <f aca="false">D23/(7940000/12)</f>
        <v>11.9966795969773</v>
      </c>
    </row>
    <row r="28" customFormat="false" ht="18" hidden="false" customHeight="true" outlineLevel="0" collapsed="false">
      <c r="A28" s="5" t="s">
        <v>196</v>
      </c>
      <c r="B28" s="5"/>
      <c r="C28" s="5"/>
      <c r="D28" s="5"/>
      <c r="E28" s="5"/>
    </row>
    <row r="29" customFormat="false" ht="15" hidden="false" customHeight="true" outlineLevel="0" collapsed="false">
      <c r="A29" s="11" t="s">
        <v>197</v>
      </c>
      <c r="B29" s="25" t="n">
        <v>6224000</v>
      </c>
      <c r="C29" s="25" t="n">
        <v>21177450</v>
      </c>
      <c r="D29" s="25" t="n">
        <v>54890400</v>
      </c>
    </row>
    <row r="30" customFormat="false" ht="15" hidden="false" customHeight="true" outlineLevel="0" collapsed="false">
      <c r="A30" s="19" t="s">
        <v>198</v>
      </c>
      <c r="B30" s="20"/>
      <c r="C30" s="20" t="n">
        <f aca="false">(C29-B29)/B29</f>
        <v>2.40254659383033</v>
      </c>
      <c r="D30" s="20" t="n">
        <f aca="false">(D29-C29)/C29</f>
        <v>1.59192679005263</v>
      </c>
    </row>
    <row r="31" customFormat="false" ht="15" hidden="false" customHeight="true" outlineLevel="0" collapsed="false">
      <c r="A31" s="11" t="s">
        <v>199</v>
      </c>
      <c r="B31" s="25" t="n">
        <v>4071750</v>
      </c>
      <c r="C31" s="25" t="n">
        <v>14619070</v>
      </c>
      <c r="D31" s="25" t="n">
        <v>38579900</v>
      </c>
    </row>
    <row r="32" customFormat="false" ht="15" hidden="false" customHeight="true" outlineLevel="0" collapsed="false">
      <c r="A32" s="19" t="s">
        <v>148</v>
      </c>
      <c r="B32" s="20" t="n">
        <f aca="false">B31/B29</f>
        <v>0.6542014781491</v>
      </c>
      <c r="C32" s="20" t="n">
        <f aca="false">C31/C29</f>
        <v>0.69031304524388</v>
      </c>
      <c r="D32" s="20" t="n">
        <f aca="false">D31/D29</f>
        <v>0.702853322256715</v>
      </c>
    </row>
    <row r="33" customFormat="false" ht="15" hidden="false" customHeight="true" outlineLevel="0" collapsed="false">
      <c r="A33" s="11" t="s">
        <v>200</v>
      </c>
      <c r="B33" s="25" t="n">
        <v>2461750</v>
      </c>
      <c r="C33" s="25" t="n">
        <v>10829070</v>
      </c>
      <c r="D33" s="25" t="n">
        <v>30639900</v>
      </c>
    </row>
    <row r="34" customFormat="false" ht="15" hidden="false" customHeight="true" outlineLevel="0" collapsed="false">
      <c r="A34" s="19" t="s">
        <v>158</v>
      </c>
      <c r="B34" s="20" t="n">
        <f aca="false">B33/B29</f>
        <v>0.395525385604113</v>
      </c>
      <c r="C34" s="20" t="n">
        <f aca="false">C33/C29</f>
        <v>0.51134910010412</v>
      </c>
      <c r="D34" s="20" t="n">
        <f aca="false">D33/D29</f>
        <v>0.558201434130558</v>
      </c>
    </row>
    <row r="35" customFormat="false" ht="15" hidden="false" customHeight="true" outlineLevel="0" collapsed="false">
      <c r="A35" s="11" t="s">
        <v>201</v>
      </c>
      <c r="B35" s="25" t="n">
        <v>1883813</v>
      </c>
      <c r="C35" s="25" t="n">
        <v>8121803</v>
      </c>
      <c r="D35" s="25" t="n">
        <v>22858526</v>
      </c>
    </row>
    <row r="36" customFormat="false" ht="15" hidden="false" customHeight="true" outlineLevel="0" collapsed="false">
      <c r="A36" s="19" t="s">
        <v>167</v>
      </c>
      <c r="B36" s="20" t="n">
        <f aca="false">B35/B29</f>
        <v>0.302669183804627</v>
      </c>
      <c r="C36" s="20" t="n">
        <f aca="false">C35/C29</f>
        <v>0.383511848688109</v>
      </c>
      <c r="D36" s="20" t="n">
        <f aca="false">D35/D29</f>
        <v>0.416439413813709</v>
      </c>
    </row>
    <row r="38" customFormat="false" ht="15" hidden="false" customHeight="true" outlineLevel="0" collapsed="false">
      <c r="A38" s="11" t="s">
        <v>202</v>
      </c>
      <c r="B38" s="12" t="n">
        <v>1601000</v>
      </c>
      <c r="C38" s="12" t="n">
        <v>2967000</v>
      </c>
      <c r="D38" s="12" t="n">
        <v>5215000</v>
      </c>
      <c r="E38" s="8" t="s">
        <v>203</v>
      </c>
    </row>
    <row r="39" customFormat="false" ht="15" hidden="false" customHeight="true" outlineLevel="0" collapsed="false">
      <c r="A39" s="11" t="s">
        <v>204</v>
      </c>
      <c r="B39" s="12" t="n">
        <v>500000</v>
      </c>
      <c r="C39" s="12" t="n">
        <v>1700000</v>
      </c>
      <c r="D39" s="12" t="n">
        <v>4200000</v>
      </c>
      <c r="E39" s="8" t="s">
        <v>205</v>
      </c>
    </row>
    <row r="40" customFormat="false" ht="15" hidden="false" customHeight="true" outlineLevel="0" collapsed="false">
      <c r="A40" s="11" t="s">
        <v>206</v>
      </c>
      <c r="B40" s="12" t="n">
        <v>171000</v>
      </c>
      <c r="C40" s="12" t="n">
        <v>488550</v>
      </c>
      <c r="D40" s="12" t="n">
        <v>994600</v>
      </c>
      <c r="E40" s="8" t="s">
        <v>207</v>
      </c>
    </row>
    <row r="42" customFormat="false" ht="18" hidden="false" customHeight="true" outlineLevel="0" collapsed="false">
      <c r="A42" s="5" t="s">
        <v>208</v>
      </c>
      <c r="B42" s="5"/>
      <c r="C42" s="5"/>
      <c r="D42" s="5"/>
      <c r="E42" s="5"/>
    </row>
    <row r="43" customFormat="false" ht="15" hidden="false" customHeight="true" outlineLevel="0" collapsed="false">
      <c r="A43" s="11" t="s">
        <v>209</v>
      </c>
      <c r="B43" s="12" t="n">
        <v>150000</v>
      </c>
      <c r="C43" s="12" t="n">
        <v>540000</v>
      </c>
      <c r="D43" s="12" t="n">
        <v>1200000</v>
      </c>
      <c r="E43" s="8" t="s">
        <v>210</v>
      </c>
    </row>
    <row r="44" customFormat="false" ht="15" hidden="false" customHeight="true" outlineLevel="0" collapsed="false">
      <c r="A44" s="11" t="s">
        <v>211</v>
      </c>
      <c r="B44" s="12" t="n">
        <v>80000</v>
      </c>
      <c r="C44" s="12" t="n">
        <v>360000</v>
      </c>
      <c r="D44" s="12" t="n">
        <v>1000000</v>
      </c>
      <c r="E44" s="8" t="s">
        <v>212</v>
      </c>
    </row>
    <row r="45" customFormat="false" ht="15" hidden="false" customHeight="true" outlineLevel="0" collapsed="false">
      <c r="A45" s="14" t="s">
        <v>213</v>
      </c>
      <c r="B45" s="15" t="n">
        <f aca="false">B42+B43</f>
        <v>150000</v>
      </c>
      <c r="C45" s="15" t="n">
        <f aca="false">C42+C43</f>
        <v>540000</v>
      </c>
      <c r="D45" s="15" t="n">
        <f aca="false">D42+D43</f>
        <v>1200000</v>
      </c>
    </row>
    <row r="46" customFormat="false" ht="15" hidden="false" customHeight="true" outlineLevel="0" collapsed="false">
      <c r="A46" s="14" t="s">
        <v>214</v>
      </c>
      <c r="B46" s="15" t="n">
        <f aca="false">B44*12</f>
        <v>960000</v>
      </c>
      <c r="C46" s="15" t="n">
        <f aca="false">C44*12</f>
        <v>4320000</v>
      </c>
      <c r="D46" s="15" t="n">
        <f aca="false">D44*12</f>
        <v>12000000</v>
      </c>
    </row>
    <row r="48" customFormat="false" ht="18" hidden="false" customHeight="true" outlineLevel="0" collapsed="false">
      <c r="A48" s="5" t="s">
        <v>215</v>
      </c>
      <c r="B48" s="5"/>
      <c r="C48" s="5"/>
      <c r="D48" s="5"/>
      <c r="E48" s="5"/>
    </row>
    <row r="49" customFormat="false" ht="15" hidden="false" customHeight="true" outlineLevel="0" collapsed="false">
      <c r="A49" s="11" t="s">
        <v>216</v>
      </c>
      <c r="B49" s="12" t="n">
        <v>4</v>
      </c>
      <c r="C49" s="12" t="n">
        <v>8</v>
      </c>
      <c r="D49" s="12" t="n">
        <v>14</v>
      </c>
    </row>
    <row r="50" customFormat="false" ht="15" hidden="false" customHeight="true" outlineLevel="0" collapsed="false">
      <c r="A50" s="11" t="s">
        <v>217</v>
      </c>
      <c r="B50" s="12" t="n">
        <v>700000</v>
      </c>
      <c r="C50" s="12" t="n">
        <v>800000</v>
      </c>
      <c r="D50" s="12" t="n">
        <v>1000000</v>
      </c>
      <c r="E50" s="8" t="s">
        <v>218</v>
      </c>
    </row>
    <row r="51" customFormat="false" ht="15" hidden="false" customHeight="true" outlineLevel="0" collapsed="false">
      <c r="A51" s="11" t="s">
        <v>219</v>
      </c>
      <c r="B51" s="26" t="n">
        <v>45</v>
      </c>
      <c r="C51" s="26" t="n">
        <v>40</v>
      </c>
      <c r="D51" s="26" t="n">
        <v>60</v>
      </c>
      <c r="E51" s="8" t="s">
        <v>220</v>
      </c>
    </row>
    <row r="52" customFormat="false" ht="15" hidden="false" customHeight="true" outlineLevel="0" collapsed="false">
      <c r="A52" s="11" t="s">
        <v>221</v>
      </c>
      <c r="B52" s="26" t="n">
        <v>0.8</v>
      </c>
      <c r="C52" s="26" t="n">
        <v>0.83</v>
      </c>
      <c r="D52" s="26" t="n">
        <v>0.85</v>
      </c>
      <c r="E52" s="8" t="s">
        <v>222</v>
      </c>
    </row>
    <row r="53" customFormat="false" ht="15" hidden="false" customHeight="true" outlineLevel="0" collapsed="false">
      <c r="A53" s="11" t="s">
        <v>223</v>
      </c>
      <c r="B53" s="26" t="n">
        <v>0.25</v>
      </c>
      <c r="C53" s="26" t="n">
        <v>0.35</v>
      </c>
      <c r="D53" s="26" t="n">
        <v>0.45</v>
      </c>
    </row>
  </sheetData>
  <mergeCells count="8">
    <mergeCell ref="A1:E1"/>
    <mergeCell ref="A2:E2"/>
    <mergeCell ref="A5:E5"/>
    <mergeCell ref="A13:E13"/>
    <mergeCell ref="A18:E18"/>
    <mergeCell ref="A28:E28"/>
    <mergeCell ref="A42:E42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28"/>
  </cols>
  <sheetData>
    <row r="1" customFormat="false" ht="27.75" hidden="false" customHeight="true" outlineLevel="0" collapsed="false">
      <c r="A1" s="2" t="s">
        <v>224</v>
      </c>
      <c r="B1" s="2"/>
      <c r="C1" s="2"/>
      <c r="D1" s="2"/>
      <c r="E1" s="2"/>
    </row>
    <row r="2" customFormat="false" ht="15" hidden="false" customHeight="true" outlineLevel="0" collapsed="false">
      <c r="A2" s="3" t="s">
        <v>225</v>
      </c>
      <c r="B2" s="3"/>
      <c r="C2" s="3"/>
      <c r="D2" s="3"/>
      <c r="E2" s="3"/>
    </row>
    <row r="4" customFormat="false" ht="15" hidden="false" customHeight="true" outlineLevel="0" collapsed="false">
      <c r="A4" s="4" t="s">
        <v>226</v>
      </c>
      <c r="B4" s="4" t="s">
        <v>227</v>
      </c>
      <c r="C4" s="4" t="s">
        <v>228</v>
      </c>
      <c r="D4" s="4" t="s">
        <v>229</v>
      </c>
      <c r="E4" s="4" t="s">
        <v>230</v>
      </c>
    </row>
    <row r="5" customFormat="false" ht="15" hidden="false" customHeight="true" outlineLevel="0" collapsed="false">
      <c r="A5" s="5" t="s">
        <v>231</v>
      </c>
      <c r="B5" s="5"/>
      <c r="C5" s="5"/>
      <c r="D5" s="5"/>
      <c r="E5" s="5"/>
    </row>
    <row r="6" customFormat="false" ht="15" hidden="false" customHeight="true" outlineLevel="0" collapsed="false">
      <c r="A6" s="6" t="s">
        <v>232</v>
      </c>
      <c r="B6" s="27" t="n">
        <v>2</v>
      </c>
      <c r="C6" s="28" t="n">
        <v>4</v>
      </c>
      <c r="D6" s="29" t="n">
        <v>7</v>
      </c>
      <c r="E6" s="30" t="s">
        <v>233</v>
      </c>
    </row>
    <row r="7" customFormat="false" ht="15" hidden="false" customHeight="true" outlineLevel="0" collapsed="false">
      <c r="A7" s="6" t="s">
        <v>234</v>
      </c>
      <c r="B7" s="31" t="n">
        <v>500000</v>
      </c>
      <c r="C7" s="32" t="n">
        <v>700000</v>
      </c>
      <c r="D7" s="33" t="n">
        <v>900000</v>
      </c>
      <c r="E7" s="30" t="s">
        <v>235</v>
      </c>
    </row>
    <row r="8" customFormat="false" ht="15" hidden="false" customHeight="true" outlineLevel="0" collapsed="false">
      <c r="A8" s="6" t="s">
        <v>236</v>
      </c>
      <c r="B8" s="34" t="s">
        <v>237</v>
      </c>
      <c r="C8" s="35" t="s">
        <v>238</v>
      </c>
      <c r="D8" s="36" t="s">
        <v>239</v>
      </c>
      <c r="E8" s="30" t="s">
        <v>240</v>
      </c>
    </row>
    <row r="9" customFormat="false" ht="15" hidden="false" customHeight="true" outlineLevel="0" collapsed="false">
      <c r="A9" s="6" t="s">
        <v>241</v>
      </c>
      <c r="B9" s="27" t="n">
        <v>0</v>
      </c>
      <c r="C9" s="28" t="n">
        <v>1</v>
      </c>
      <c r="D9" s="29" t="n">
        <v>2</v>
      </c>
      <c r="E9" s="30" t="s">
        <v>242</v>
      </c>
    </row>
    <row r="10" customFormat="false" ht="15" hidden="false" customHeight="true" outlineLevel="0" collapsed="false">
      <c r="A10" s="6" t="s">
        <v>243</v>
      </c>
      <c r="B10" s="27" t="n">
        <v>1</v>
      </c>
      <c r="C10" s="28" t="n">
        <v>2</v>
      </c>
      <c r="D10" s="29" t="n">
        <v>4</v>
      </c>
      <c r="E10" s="30" t="s">
        <v>244</v>
      </c>
    </row>
    <row r="11" customFormat="false" ht="15" hidden="false" customHeight="true" outlineLevel="0" collapsed="false">
      <c r="A11" s="6" t="s">
        <v>245</v>
      </c>
      <c r="B11" s="27" t="n">
        <v>10</v>
      </c>
      <c r="C11" s="28" t="n">
        <v>25</v>
      </c>
      <c r="D11" s="29" t="n">
        <v>60</v>
      </c>
      <c r="E11" s="30" t="s">
        <v>246</v>
      </c>
    </row>
    <row r="13" customFormat="false" ht="15" hidden="false" customHeight="true" outlineLevel="0" collapsed="false">
      <c r="A13" s="5" t="s">
        <v>247</v>
      </c>
      <c r="B13" s="5"/>
      <c r="C13" s="5"/>
      <c r="D13" s="5"/>
      <c r="E13" s="5"/>
    </row>
    <row r="14" customFormat="false" ht="15" hidden="false" customHeight="true" outlineLevel="0" collapsed="false">
      <c r="A14" s="6" t="s">
        <v>248</v>
      </c>
      <c r="B14" s="31" t="n">
        <v>1690000</v>
      </c>
      <c r="C14" s="32" t="n">
        <v>3649000</v>
      </c>
      <c r="D14" s="33" t="n">
        <v>6885000</v>
      </c>
      <c r="E14" s="30" t="s">
        <v>249</v>
      </c>
    </row>
    <row r="15" customFormat="false" ht="15" hidden="false" customHeight="true" outlineLevel="0" collapsed="false">
      <c r="A15" s="6" t="s">
        <v>250</v>
      </c>
      <c r="B15" s="31" t="n">
        <v>920000</v>
      </c>
      <c r="C15" s="32" t="n">
        <v>1940000</v>
      </c>
      <c r="D15" s="33" t="n">
        <v>4200000</v>
      </c>
      <c r="E15" s="30" t="s">
        <v>251</v>
      </c>
    </row>
    <row r="16" customFormat="false" ht="15" hidden="false" customHeight="true" outlineLevel="0" collapsed="false">
      <c r="A16" s="6" t="s">
        <v>252</v>
      </c>
      <c r="B16" s="31" t="n">
        <v>235000</v>
      </c>
      <c r="C16" s="32" t="n">
        <v>635000</v>
      </c>
      <c r="D16" s="33" t="n">
        <v>1480000</v>
      </c>
      <c r="E16" s="30" t="s">
        <v>253</v>
      </c>
    </row>
    <row r="17" customFormat="false" ht="15" hidden="false" customHeight="true" outlineLevel="0" collapsed="false">
      <c r="A17" s="6" t="s">
        <v>254</v>
      </c>
      <c r="B17" s="31" t="n">
        <v>-86250</v>
      </c>
      <c r="C17" s="32" t="n">
        <v>-171000</v>
      </c>
      <c r="D17" s="33" t="n">
        <v>-332950</v>
      </c>
      <c r="E17" s="30" t="s">
        <v>255</v>
      </c>
    </row>
    <row r="18" customFormat="false" ht="15" hidden="false" customHeight="true" outlineLevel="0" collapsed="false">
      <c r="A18" s="16" t="s">
        <v>256</v>
      </c>
      <c r="B18" s="37" t="n">
        <v>2758750</v>
      </c>
      <c r="C18" s="17" t="n">
        <v>6053000</v>
      </c>
      <c r="D18" s="38" t="n">
        <v>12232050</v>
      </c>
      <c r="E18" s="30"/>
    </row>
    <row r="20" customFormat="false" ht="15" hidden="false" customHeight="true" outlineLevel="0" collapsed="false">
      <c r="A20" s="5" t="s">
        <v>257</v>
      </c>
      <c r="B20" s="5"/>
      <c r="C20" s="5"/>
      <c r="D20" s="5"/>
      <c r="E20" s="5"/>
    </row>
    <row r="21" customFormat="false" ht="15" hidden="false" customHeight="true" outlineLevel="0" collapsed="false">
      <c r="A21" s="6" t="s">
        <v>199</v>
      </c>
      <c r="B21" s="31" t="n">
        <v>1600000</v>
      </c>
      <c r="C21" s="32" t="n">
        <v>4071750</v>
      </c>
      <c r="D21" s="33" t="n">
        <v>8250000</v>
      </c>
      <c r="E21" s="30"/>
    </row>
    <row r="22" customFormat="false" ht="15" hidden="false" customHeight="true" outlineLevel="0" collapsed="false">
      <c r="A22" s="6" t="s">
        <v>258</v>
      </c>
      <c r="B22" s="34" t="s">
        <v>259</v>
      </c>
      <c r="C22" s="35" t="s">
        <v>237</v>
      </c>
      <c r="D22" s="36" t="s">
        <v>260</v>
      </c>
      <c r="E22" s="30"/>
    </row>
    <row r="23" customFormat="false" ht="15" hidden="false" customHeight="true" outlineLevel="0" collapsed="false">
      <c r="A23" s="6" t="s">
        <v>200</v>
      </c>
      <c r="B23" s="31" t="n">
        <v>200000</v>
      </c>
      <c r="C23" s="32" t="n">
        <v>2461750</v>
      </c>
      <c r="D23" s="33" t="n">
        <v>6800000</v>
      </c>
      <c r="E23" s="30"/>
    </row>
    <row r="24" customFormat="false" ht="15" hidden="false" customHeight="true" outlineLevel="0" collapsed="false">
      <c r="A24" s="6" t="s">
        <v>261</v>
      </c>
      <c r="B24" s="34" t="s">
        <v>262</v>
      </c>
      <c r="C24" s="35" t="s">
        <v>263</v>
      </c>
      <c r="D24" s="36" t="s">
        <v>264</v>
      </c>
      <c r="E24" s="30"/>
    </row>
    <row r="25" customFormat="false" ht="15" hidden="false" customHeight="true" outlineLevel="0" collapsed="false">
      <c r="A25" s="6" t="s">
        <v>201</v>
      </c>
      <c r="B25" s="31" t="n">
        <v>150000</v>
      </c>
      <c r="C25" s="32" t="n">
        <v>1883813</v>
      </c>
      <c r="D25" s="33" t="n">
        <v>5100000</v>
      </c>
      <c r="E25" s="30" t="s">
        <v>265</v>
      </c>
    </row>
    <row r="26" customFormat="false" ht="15" hidden="false" customHeight="true" outlineLevel="0" collapsed="false">
      <c r="A26" s="6" t="s">
        <v>266</v>
      </c>
      <c r="B26" s="34" t="s">
        <v>267</v>
      </c>
      <c r="C26" s="35" t="s">
        <v>268</v>
      </c>
      <c r="D26" s="36" t="s">
        <v>269</v>
      </c>
      <c r="E26" s="30"/>
    </row>
    <row r="28" customFormat="false" ht="15" hidden="false" customHeight="true" outlineLevel="0" collapsed="false">
      <c r="A28" s="5" t="s">
        <v>270</v>
      </c>
      <c r="B28" s="5"/>
      <c r="C28" s="5"/>
      <c r="D28" s="5"/>
      <c r="E28" s="5"/>
    </row>
    <row r="29" customFormat="false" ht="15" hidden="false" customHeight="true" outlineLevel="0" collapsed="false">
      <c r="A29" s="6" t="s">
        <v>271</v>
      </c>
      <c r="B29" s="31" t="n">
        <v>400000</v>
      </c>
      <c r="C29" s="32" t="n">
        <v>3200000</v>
      </c>
      <c r="D29" s="33" t="n">
        <v>7500000</v>
      </c>
      <c r="E29" s="30"/>
    </row>
    <row r="30" customFormat="false" ht="15" hidden="false" customHeight="true" outlineLevel="0" collapsed="false">
      <c r="A30" s="6" t="s">
        <v>272</v>
      </c>
      <c r="B30" s="31" t="n">
        <v>900000</v>
      </c>
      <c r="C30" s="32" t="n">
        <v>3700000</v>
      </c>
      <c r="D30" s="33" t="n">
        <v>8000000</v>
      </c>
      <c r="E30" s="30" t="s">
        <v>273</v>
      </c>
    </row>
    <row r="32" customFormat="false" ht="15" hidden="false" customHeight="true" outlineLevel="0" collapsed="false">
      <c r="A32" s="5" t="s">
        <v>274</v>
      </c>
      <c r="B32" s="5"/>
      <c r="C32" s="5"/>
      <c r="D32" s="5"/>
      <c r="E32" s="5"/>
    </row>
    <row r="33" customFormat="false" ht="15" hidden="false" customHeight="true" outlineLevel="0" collapsed="false">
      <c r="A33" s="39" t="s">
        <v>275</v>
      </c>
      <c r="B33" s="39"/>
      <c r="C33" s="39"/>
      <c r="D33" s="39"/>
      <c r="E33" s="39"/>
    </row>
    <row r="34" customFormat="false" ht="15" hidden="false" customHeight="true" outlineLevel="0" collapsed="false">
      <c r="A34" s="39" t="s">
        <v>276</v>
      </c>
      <c r="B34" s="39"/>
      <c r="C34" s="39"/>
      <c r="D34" s="39"/>
      <c r="E34" s="39"/>
    </row>
    <row r="35" customFormat="false" ht="15" hidden="false" customHeight="true" outlineLevel="0" collapsed="false">
      <c r="A35" s="39" t="s">
        <v>277</v>
      </c>
      <c r="B35" s="39"/>
      <c r="C35" s="39"/>
      <c r="D35" s="39"/>
      <c r="E35" s="39"/>
    </row>
  </sheetData>
  <mergeCells count="10">
    <mergeCell ref="A1:E1"/>
    <mergeCell ref="A2:E2"/>
    <mergeCell ref="A5:E5"/>
    <mergeCell ref="A13:E13"/>
    <mergeCell ref="A20:E20"/>
    <mergeCell ref="A28:E28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0"/>
    <col collapsed="false" customWidth="true" hidden="false" outlineLevel="0" max="4" min="4" style="1" width="28"/>
  </cols>
  <sheetData>
    <row r="1" customFormat="false" ht="27.75" hidden="false" customHeight="true" outlineLevel="0" collapsed="false">
      <c r="A1" s="2" t="s">
        <v>278</v>
      </c>
      <c r="B1" s="2"/>
      <c r="C1" s="2"/>
      <c r="D1" s="2"/>
    </row>
    <row r="2" customFormat="false" ht="15" hidden="false" customHeight="true" outlineLevel="0" collapsed="false">
      <c r="A2" s="3" t="s">
        <v>279</v>
      </c>
      <c r="B2" s="3"/>
      <c r="C2" s="3"/>
      <c r="D2" s="3"/>
    </row>
    <row r="4" customFormat="false" ht="15" hidden="false" customHeight="true" outlineLevel="0" collapsed="false">
      <c r="A4" s="4" t="s">
        <v>280</v>
      </c>
      <c r="B4" s="4" t="s">
        <v>281</v>
      </c>
      <c r="C4" s="4" t="s">
        <v>282</v>
      </c>
      <c r="D4" s="4" t="s">
        <v>283</v>
      </c>
    </row>
    <row r="5" customFormat="false" ht="15" hidden="false" customHeight="true" outlineLevel="0" collapsed="false">
      <c r="A5" s="40" t="s">
        <v>284</v>
      </c>
      <c r="B5" s="40"/>
      <c r="C5" s="40"/>
      <c r="D5" s="40"/>
    </row>
    <row r="6" customFormat="false" ht="15" hidden="false" customHeight="true" outlineLevel="0" collapsed="false">
      <c r="A6" s="6" t="s">
        <v>285</v>
      </c>
      <c r="B6" s="41" t="s">
        <v>286</v>
      </c>
      <c r="C6" s="42" t="s">
        <v>287</v>
      </c>
      <c r="D6" s="8" t="s">
        <v>288</v>
      </c>
    </row>
    <row r="7" customFormat="false" ht="15" hidden="false" customHeight="true" outlineLevel="0" collapsed="false">
      <c r="A7" s="6" t="s">
        <v>289</v>
      </c>
      <c r="B7" s="41" t="s">
        <v>290</v>
      </c>
      <c r="C7" s="42" t="s">
        <v>291</v>
      </c>
      <c r="D7" s="8" t="s">
        <v>292</v>
      </c>
    </row>
    <row r="8" customFormat="false" ht="15" hidden="false" customHeight="true" outlineLevel="0" collapsed="false">
      <c r="A8" s="6" t="s">
        <v>293</v>
      </c>
      <c r="B8" s="41" t="s">
        <v>294</v>
      </c>
      <c r="C8" s="42" t="s">
        <v>295</v>
      </c>
      <c r="D8" s="8" t="s">
        <v>296</v>
      </c>
    </row>
    <row r="9" customFormat="false" ht="15" hidden="false" customHeight="true" outlineLevel="0" collapsed="false">
      <c r="A9" s="6" t="s">
        <v>297</v>
      </c>
      <c r="B9" s="41" t="s">
        <v>298</v>
      </c>
      <c r="C9" s="42" t="s">
        <v>295</v>
      </c>
      <c r="D9" s="8" t="s">
        <v>299</v>
      </c>
    </row>
    <row r="10" customFormat="false" ht="15" hidden="false" customHeight="true" outlineLevel="0" collapsed="false">
      <c r="A10" s="6" t="s">
        <v>300</v>
      </c>
      <c r="B10" s="41" t="s">
        <v>301</v>
      </c>
      <c r="C10" s="42" t="s">
        <v>302</v>
      </c>
      <c r="D10" s="8" t="s">
        <v>303</v>
      </c>
    </row>
    <row r="12" customFormat="false" ht="15" hidden="false" customHeight="true" outlineLevel="0" collapsed="false">
      <c r="A12" s="40" t="s">
        <v>304</v>
      </c>
      <c r="B12" s="40"/>
      <c r="C12" s="40"/>
      <c r="D12" s="40"/>
    </row>
    <row r="13" customFormat="false" ht="15" hidden="false" customHeight="true" outlineLevel="0" collapsed="false">
      <c r="A13" s="6" t="s">
        <v>305</v>
      </c>
      <c r="B13" s="41" t="s">
        <v>306</v>
      </c>
      <c r="C13" s="42" t="s">
        <v>307</v>
      </c>
      <c r="D13" s="8" t="s">
        <v>308</v>
      </c>
    </row>
    <row r="14" customFormat="false" ht="15" hidden="false" customHeight="true" outlineLevel="0" collapsed="false">
      <c r="A14" s="6" t="s">
        <v>309</v>
      </c>
      <c r="B14" s="41" t="s">
        <v>310</v>
      </c>
      <c r="C14" s="42" t="s">
        <v>291</v>
      </c>
      <c r="D14" s="8" t="s">
        <v>311</v>
      </c>
    </row>
    <row r="15" customFormat="false" ht="15" hidden="false" customHeight="true" outlineLevel="0" collapsed="false">
      <c r="A15" s="6" t="s">
        <v>312</v>
      </c>
      <c r="B15" s="41" t="s">
        <v>290</v>
      </c>
      <c r="C15" s="42" t="s">
        <v>313</v>
      </c>
      <c r="D15" s="8" t="s">
        <v>314</v>
      </c>
    </row>
    <row r="16" customFormat="false" ht="15" hidden="false" customHeight="true" outlineLevel="0" collapsed="false">
      <c r="A16" s="6" t="s">
        <v>315</v>
      </c>
      <c r="B16" s="41" t="s">
        <v>316</v>
      </c>
      <c r="C16" s="42" t="s">
        <v>295</v>
      </c>
      <c r="D16" s="8" t="s">
        <v>317</v>
      </c>
    </row>
    <row r="17" customFormat="false" ht="15" hidden="false" customHeight="true" outlineLevel="0" collapsed="false">
      <c r="A17" s="6" t="s">
        <v>318</v>
      </c>
      <c r="B17" s="41" t="s">
        <v>319</v>
      </c>
      <c r="C17" s="42" t="s">
        <v>320</v>
      </c>
      <c r="D17" s="8" t="s">
        <v>321</v>
      </c>
    </row>
    <row r="18" customFormat="false" ht="15" hidden="false" customHeight="true" outlineLevel="0" collapsed="false">
      <c r="A18" s="6" t="s">
        <v>322</v>
      </c>
      <c r="B18" s="41" t="s">
        <v>323</v>
      </c>
      <c r="C18" s="42" t="s">
        <v>324</v>
      </c>
      <c r="D18" s="8" t="s">
        <v>325</v>
      </c>
    </row>
    <row r="20" customFormat="false" ht="15" hidden="false" customHeight="true" outlineLevel="0" collapsed="false">
      <c r="A20" s="40" t="s">
        <v>326</v>
      </c>
      <c r="B20" s="40"/>
      <c r="C20" s="40"/>
      <c r="D20" s="40"/>
    </row>
    <row r="21" customFormat="false" ht="15" hidden="false" customHeight="true" outlineLevel="0" collapsed="false">
      <c r="A21" s="6" t="s">
        <v>327</v>
      </c>
      <c r="B21" s="41" t="s">
        <v>328</v>
      </c>
      <c r="C21" s="42" t="s">
        <v>329</v>
      </c>
      <c r="D21" s="8" t="s">
        <v>330</v>
      </c>
    </row>
    <row r="22" customFormat="false" ht="15" hidden="false" customHeight="true" outlineLevel="0" collapsed="false">
      <c r="A22" s="6" t="s">
        <v>331</v>
      </c>
      <c r="B22" s="41" t="s">
        <v>332</v>
      </c>
      <c r="C22" s="42" t="s">
        <v>333</v>
      </c>
      <c r="D22" s="8" t="s">
        <v>334</v>
      </c>
    </row>
    <row r="23" customFormat="false" ht="15" hidden="false" customHeight="true" outlineLevel="0" collapsed="false">
      <c r="A23" s="6" t="s">
        <v>335</v>
      </c>
      <c r="B23" s="41" t="s">
        <v>336</v>
      </c>
      <c r="C23" s="42" t="s">
        <v>333</v>
      </c>
      <c r="D23" s="8" t="s">
        <v>337</v>
      </c>
    </row>
    <row r="24" customFormat="false" ht="15" hidden="false" customHeight="true" outlineLevel="0" collapsed="false">
      <c r="A24" s="6" t="s">
        <v>338</v>
      </c>
      <c r="B24" s="41" t="s">
        <v>339</v>
      </c>
      <c r="C24" s="42" t="s">
        <v>340</v>
      </c>
      <c r="D24" s="8" t="s">
        <v>341</v>
      </c>
    </row>
    <row r="25" customFormat="false" ht="15" hidden="false" customHeight="true" outlineLevel="0" collapsed="false">
      <c r="A25" s="6" t="s">
        <v>342</v>
      </c>
      <c r="B25" s="41" t="s">
        <v>343</v>
      </c>
      <c r="C25" s="42" t="s">
        <v>344</v>
      </c>
      <c r="D25" s="8" t="s">
        <v>345</v>
      </c>
    </row>
    <row r="27" customFormat="false" ht="15" hidden="false" customHeight="true" outlineLevel="0" collapsed="false">
      <c r="A27" s="40" t="s">
        <v>346</v>
      </c>
      <c r="B27" s="40"/>
      <c r="C27" s="40"/>
      <c r="D27" s="40"/>
    </row>
    <row r="28" customFormat="false" ht="15" hidden="false" customHeight="true" outlineLevel="0" collapsed="false">
      <c r="A28" s="19" t="s">
        <v>347</v>
      </c>
      <c r="B28" s="43" t="s">
        <v>348</v>
      </c>
      <c r="C28" s="42" t="s">
        <v>349</v>
      </c>
      <c r="D28" s="8" t="s">
        <v>350</v>
      </c>
    </row>
    <row r="29" customFormat="false" ht="15" hidden="false" customHeight="true" outlineLevel="0" collapsed="false">
      <c r="A29" s="19" t="s">
        <v>351</v>
      </c>
      <c r="B29" s="43" t="s">
        <v>352</v>
      </c>
      <c r="C29" s="42" t="s">
        <v>349</v>
      </c>
      <c r="D29" s="8" t="s">
        <v>353</v>
      </c>
    </row>
    <row r="30" customFormat="false" ht="15" hidden="false" customHeight="true" outlineLevel="0" collapsed="false">
      <c r="A30" s="19" t="s">
        <v>354</v>
      </c>
      <c r="B30" s="43" t="s">
        <v>355</v>
      </c>
      <c r="C30" s="42" t="s">
        <v>349</v>
      </c>
      <c r="D30" s="8" t="s">
        <v>356</v>
      </c>
    </row>
    <row r="31" customFormat="false" ht="15" hidden="false" customHeight="true" outlineLevel="0" collapsed="false">
      <c r="A31" s="19" t="s">
        <v>357</v>
      </c>
      <c r="B31" s="43" t="s">
        <v>358</v>
      </c>
      <c r="C31" s="42" t="s">
        <v>349</v>
      </c>
      <c r="D31" s="8" t="s">
        <v>359</v>
      </c>
    </row>
  </sheetData>
  <mergeCells count="6">
    <mergeCell ref="A1:D1"/>
    <mergeCell ref="A2:D2"/>
    <mergeCell ref="A5:D5"/>
    <mergeCell ref="A12:D12"/>
    <mergeCell ref="A20:D20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2026-06-15T05:49:05Z</dcterms:created>
  <dc:creator>openpyxl</dc:creator>
  <dc:description/>
  <dc:language>en-US</dc:language>
  <cp:lastModifiedBy/>
  <dcterms:modified xsi:type="dcterms:W3CDTF">2026-06-15T05:49:47Z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